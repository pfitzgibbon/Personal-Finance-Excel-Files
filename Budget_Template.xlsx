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tzg\Documents\Budgets\"/>
    </mc:Choice>
  </mc:AlternateContent>
  <xr:revisionPtr revIDLastSave="0" documentId="13_ncr:1_{C54629B9-9B34-4926-A042-F1F2B24A3593}" xr6:coauthVersionLast="47" xr6:coauthVersionMax="47" xr10:uidLastSave="{00000000-0000-0000-0000-000000000000}"/>
  <bookViews>
    <workbookView xWindow="-120" yWindow="-120" windowWidth="29040" windowHeight="15720" xr2:uid="{F315D169-D613-49CD-AD56-E5CB9B00944B}"/>
  </bookViews>
  <sheets>
    <sheet name="Budget" sheetId="1" r:id="rId1"/>
  </sheets>
  <definedNames>
    <definedName name="solver_adj" localSheetId="0" hidden="1">Budget!#REF!,Budget!$BV$19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Budget!#REF!</definedName>
    <definedName name="solver_lhs2" localSheetId="0" hidden="1">Budget!#REF!</definedName>
    <definedName name="solver_lhs3" localSheetId="0" hidden="1">Budget!#REF!</definedName>
    <definedName name="solver_lhs4" localSheetId="0" hidden="1">Budget!$BV$19</definedName>
    <definedName name="solver_lhs5" localSheetId="0" hidden="1">Budget!$BV$19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Budget!#REF!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hs1" localSheetId="0" hidden="1">170000</definedName>
    <definedName name="solver_rhs2" localSheetId="0" hidden="1">170000</definedName>
    <definedName name="solver_rhs3" localSheetId="0" hidden="1">1</definedName>
    <definedName name="solver_rhs4" localSheetId="0" hidden="1">170000</definedName>
    <definedName name="solver_rhs5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6" i="1" l="1"/>
  <c r="AT6" i="1"/>
  <c r="AW6" i="1"/>
  <c r="AI6" i="1"/>
  <c r="T95" i="1"/>
  <c r="T65" i="1"/>
  <c r="S54" i="1"/>
  <c r="S43" i="1"/>
  <c r="S34" i="1"/>
  <c r="S22" i="1"/>
  <c r="U26" i="1"/>
  <c r="U30" i="1"/>
  <c r="T35" i="1"/>
  <c r="V12" i="1" l="1"/>
  <c r="AO6" i="1"/>
  <c r="V11" i="1" l="1"/>
  <c r="AJ6" i="1"/>
  <c r="AL5" i="1"/>
  <c r="AN6" i="1" l="1"/>
  <c r="AE7" i="1"/>
  <c r="AM6" i="1" l="1"/>
  <c r="AQ5" i="1"/>
  <c r="AP5" i="1"/>
  <c r="AQ6" i="1"/>
  <c r="BE3" i="1" l="1"/>
  <c r="AL6" i="1" l="1"/>
  <c r="I6" i="1" l="1"/>
  <c r="BD3" i="1" l="1"/>
  <c r="BI9" i="1" s="1"/>
  <c r="BE9" i="1" l="1"/>
  <c r="BI6" i="1"/>
  <c r="BE6" i="1"/>
  <c r="AN8" i="1"/>
  <c r="AJ8" i="1"/>
  <c r="AQ8" i="1"/>
  <c r="AI8" i="1"/>
  <c r="E6" i="1"/>
  <c r="AM8" i="1" l="1"/>
  <c r="AO8" i="1"/>
  <c r="S7" i="1" l="1"/>
  <c r="AK6" i="1" s="1"/>
  <c r="BB9" i="1" s="1"/>
  <c r="AP6" i="1"/>
  <c r="AK5" i="1"/>
  <c r="AI5" i="1"/>
  <c r="BC6" i="1" l="1"/>
  <c r="BC9" i="1"/>
  <c r="BB6" i="1"/>
  <c r="AR6" i="1"/>
  <c r="AL8" i="1"/>
  <c r="BA9" i="1" l="1"/>
  <c r="AN10" i="1"/>
  <c r="AJ10" i="1"/>
  <c r="AK8" i="1"/>
  <c r="AP8" i="1" l="1"/>
  <c r="AP10" i="1" l="1"/>
  <c r="AQ10" i="1"/>
  <c r="AM10" i="1"/>
  <c r="AK10" i="1"/>
  <c r="AL10" i="1"/>
  <c r="AI10" i="1"/>
  <c r="BA6" i="1"/>
  <c r="AO10" i="1"/>
  <c r="BB8" i="1" l="1"/>
  <c r="BC8" i="1"/>
  <c r="F6" i="1" l="1"/>
  <c r="AU6" i="1" s="1"/>
  <c r="BF9" i="1" l="1"/>
  <c r="BF6" i="1"/>
  <c r="BG9" i="1" l="1"/>
  <c r="AV6" i="1" l="1"/>
  <c r="J6" i="1"/>
  <c r="AZ6" i="1" s="1"/>
  <c r="BI7" i="1" s="1"/>
  <c r="BG6" i="1"/>
  <c r="BH6" i="1"/>
  <c r="BH9" i="1"/>
  <c r="BD6" i="1" l="1"/>
  <c r="BD7" i="1" s="1"/>
  <c r="BD9" i="1"/>
  <c r="AZ9" i="1"/>
  <c r="AM12" i="1"/>
  <c r="BA7" i="1"/>
  <c r="AL12" i="1"/>
  <c r="BH7" i="1"/>
  <c r="AJ12" i="1"/>
  <c r="AQ12" i="1"/>
  <c r="AK12" i="1"/>
  <c r="BC7" i="1"/>
  <c r="AP12" i="1"/>
  <c r="AZ7" i="1"/>
  <c r="AI12" i="1"/>
  <c r="BB7" i="1"/>
  <c r="BF7" i="1"/>
  <c r="AO12" i="1"/>
  <c r="AN12" i="1"/>
  <c r="BE7" i="1"/>
  <c r="BG7" i="1"/>
</calcChain>
</file>

<file path=xl/sharedStrings.xml><?xml version="1.0" encoding="utf-8"?>
<sst xmlns="http://schemas.openxmlformats.org/spreadsheetml/2006/main" count="106" uniqueCount="95">
  <si>
    <t>Money In</t>
  </si>
  <si>
    <t>Money Out</t>
  </si>
  <si>
    <t>Food and Drink</t>
  </si>
  <si>
    <t>Other</t>
  </si>
  <si>
    <t>Grand Total</t>
  </si>
  <si>
    <t>Groceries</t>
  </si>
  <si>
    <t xml:space="preserve">Miscellaneous </t>
  </si>
  <si>
    <t xml:space="preserve">Desc. </t>
  </si>
  <si>
    <t>Paycheck</t>
  </si>
  <si>
    <t>laptop</t>
  </si>
  <si>
    <t>bed frame</t>
  </si>
  <si>
    <t>Phone</t>
  </si>
  <si>
    <t>HSA Acct</t>
  </si>
  <si>
    <t>bike</t>
  </si>
  <si>
    <t>Haircut</t>
  </si>
  <si>
    <t>dress shirt</t>
  </si>
  <si>
    <t>phone case</t>
  </si>
  <si>
    <t>Savings</t>
  </si>
  <si>
    <t>Profit</t>
  </si>
  <si>
    <t>movies</t>
  </si>
  <si>
    <t>Fun Random</t>
  </si>
  <si>
    <t>Fun</t>
  </si>
  <si>
    <t>Medical</t>
  </si>
  <si>
    <t>Bills</t>
  </si>
  <si>
    <t>museum</t>
  </si>
  <si>
    <t>Percent Spent</t>
  </si>
  <si>
    <t>shower liner</t>
  </si>
  <si>
    <t>Money in Sum</t>
  </si>
  <si>
    <t xml:space="preserve">Day started: </t>
  </si>
  <si>
    <t>Day:</t>
  </si>
  <si>
    <t>snowboarding</t>
  </si>
  <si>
    <t>tubing</t>
  </si>
  <si>
    <t>401k</t>
  </si>
  <si>
    <t>Gifts</t>
  </si>
  <si>
    <t>Percent of Money In</t>
  </si>
  <si>
    <t>Per Year</t>
  </si>
  <si>
    <t>Per Week</t>
  </si>
  <si>
    <t>Money Spent</t>
  </si>
  <si>
    <t>Money Spent: Essentials</t>
  </si>
  <si>
    <t>Money Spent: Fun</t>
  </si>
  <si>
    <t>Money Saved: Total</t>
  </si>
  <si>
    <t>Car</t>
  </si>
  <si>
    <t>baseball game</t>
  </si>
  <si>
    <t>1 yr parking</t>
  </si>
  <si>
    <t>Vacation</t>
  </si>
  <si>
    <t>Reg Inv Profit</t>
  </si>
  <si>
    <t>Profit Retirement Savings</t>
  </si>
  <si>
    <t>desk</t>
  </si>
  <si>
    <t>Travel</t>
  </si>
  <si>
    <t>oil change</t>
  </si>
  <si>
    <t>Latest Update:</t>
  </si>
  <si>
    <t>Medical/Phone/etc Bills</t>
  </si>
  <si>
    <t>Vacations</t>
  </si>
  <si>
    <t>Retirement Profit</t>
  </si>
  <si>
    <t>Money Saved: Retirement</t>
  </si>
  <si>
    <t>Money Saved: Cash Unrealized Gains</t>
  </si>
  <si>
    <t>Money Saved: Retirement Unrealized Gains</t>
  </si>
  <si>
    <t>Profit Unrealized Gains (Cash and Retirement)</t>
  </si>
  <si>
    <t>birthday</t>
  </si>
  <si>
    <t>wedding gift</t>
  </si>
  <si>
    <t>new house gift</t>
  </si>
  <si>
    <t>Christmas</t>
  </si>
  <si>
    <t>moving cost</t>
  </si>
  <si>
    <t>steamer/iron/iron board</t>
  </si>
  <si>
    <t>closet hangers</t>
  </si>
  <si>
    <t xml:space="preserve">Media  (Netflix, Hulu, AMC Movie Pass, Etc.) </t>
  </si>
  <si>
    <t>gen repair</t>
  </si>
  <si>
    <t>1 yr insurance</t>
  </si>
  <si>
    <t>title, 1 yr registration</t>
  </si>
  <si>
    <t>1 yr inspection</t>
  </si>
  <si>
    <t>AAA 1 yr insurance</t>
  </si>
  <si>
    <t>Greece</t>
  </si>
  <si>
    <t>Japan</t>
  </si>
  <si>
    <t>bach party</t>
  </si>
  <si>
    <t>hotel + rental car + taxis wedding</t>
  </si>
  <si>
    <t>Spending as a Percentage of Total Money Out per Week</t>
  </si>
  <si>
    <t>Spending as a Percentage of Total Money In per Week</t>
  </si>
  <si>
    <t>Average Spending per Week</t>
  </si>
  <si>
    <t>Money Out Sums</t>
  </si>
  <si>
    <t>Description</t>
  </si>
  <si>
    <t>Bar, Liquor Stores, other "Vices"</t>
  </si>
  <si>
    <t>Restaursant, Fast Food, Cafes, Etc.</t>
  </si>
  <si>
    <t>Travel (Gas, bus, train, plane, etc.)</t>
  </si>
  <si>
    <t>Laundromat</t>
  </si>
  <si>
    <t>Gas Bill (oil, natural gas, etc.)</t>
  </si>
  <si>
    <t>Water Bill</t>
  </si>
  <si>
    <t>Internet, Cable, Landline Phone</t>
  </si>
  <si>
    <t>Electricity Bill</t>
  </si>
  <si>
    <t>Rent or Mortgage Interest + Tax + Insurance</t>
  </si>
  <si>
    <t>House Equity</t>
  </si>
  <si>
    <t>Money Saved: House Equity</t>
  </si>
  <si>
    <t>Housing, Utilities, etc.</t>
  </si>
  <si>
    <t>Money Saved: Cash - Equity</t>
  </si>
  <si>
    <t>Profit Cash (Cash Minus Equity)</t>
  </si>
  <si>
    <t>Profit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</si>
</sst>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988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AD6C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5">
    <xf numFmtId="0" fontId="0" fillId="0" borderId="0" xfId="0"/>
    <xf numFmtId="0" fontId="1" fillId="0" borderId="0" xfId="0" applyFont="1"/>
    <xf numFmtId="0" fontId="0" fillId="7" borderId="0" xfId="0" applyFill="1"/>
    <xf numFmtId="0" fontId="1" fillId="18" borderId="13" xfId="0" applyFont="1" applyFill="1" applyBorder="1"/>
    <xf numFmtId="164" fontId="0" fillId="0" borderId="0" xfId="0" applyNumberFormat="1"/>
    <xf numFmtId="0" fontId="0" fillId="5" borderId="21" xfId="0" applyFill="1" applyBorder="1"/>
    <xf numFmtId="0" fontId="1" fillId="10" borderId="25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0" borderId="4" xfId="0" applyFill="1" applyBorder="1"/>
    <xf numFmtId="0" fontId="0" fillId="20" borderId="5" xfId="0" applyFill="1" applyBorder="1"/>
    <xf numFmtId="0" fontId="0" fillId="19" borderId="26" xfId="0" applyFill="1" applyBorder="1" applyAlignment="1">
      <alignment horizontal="center"/>
    </xf>
    <xf numFmtId="0" fontId="1" fillId="18" borderId="27" xfId="0" applyFont="1" applyFill="1" applyBorder="1"/>
    <xf numFmtId="0" fontId="1" fillId="18" borderId="28" xfId="0" applyFont="1" applyFill="1" applyBorder="1"/>
    <xf numFmtId="0" fontId="1" fillId="20" borderId="5" xfId="0" applyFont="1" applyFill="1" applyBorder="1" applyAlignment="1">
      <alignment horizontal="center"/>
    </xf>
    <xf numFmtId="0" fontId="1" fillId="18" borderId="19" xfId="0" applyFont="1" applyFill="1" applyBorder="1" applyAlignment="1">
      <alignment horizontal="center"/>
    </xf>
    <xf numFmtId="14" fontId="0" fillId="19" borderId="29" xfId="0" applyNumberFormat="1" applyFill="1" applyBorder="1"/>
    <xf numFmtId="0" fontId="1" fillId="18" borderId="30" xfId="0" applyFont="1" applyFill="1" applyBorder="1"/>
    <xf numFmtId="0" fontId="1" fillId="18" borderId="31" xfId="0" applyFont="1" applyFill="1" applyBorder="1"/>
    <xf numFmtId="10" fontId="0" fillId="16" borderId="1" xfId="2" applyNumberFormat="1" applyFont="1" applyFill="1" applyBorder="1"/>
    <xf numFmtId="0" fontId="5" fillId="7" borderId="0" xfId="0" applyFont="1" applyFill="1"/>
    <xf numFmtId="0" fontId="1" fillId="6" borderId="3" xfId="0" applyFont="1" applyFill="1" applyBorder="1" applyAlignment="1">
      <alignment horizontal="center" vertical="center" wrapText="1"/>
    </xf>
    <xf numFmtId="10" fontId="0" fillId="23" borderId="1" xfId="2" applyNumberFormat="1" applyFont="1" applyFill="1" applyBorder="1"/>
    <xf numFmtId="164" fontId="0" fillId="23" borderId="17" xfId="0" applyNumberFormat="1" applyFill="1" applyBorder="1"/>
    <xf numFmtId="10" fontId="0" fillId="16" borderId="9" xfId="2" applyNumberFormat="1" applyFont="1" applyFill="1" applyBorder="1"/>
    <xf numFmtId="164" fontId="0" fillId="16" borderId="17" xfId="0" applyNumberFormat="1" applyFill="1" applyBorder="1"/>
    <xf numFmtId="164" fontId="0" fillId="16" borderId="18" xfId="0" applyNumberFormat="1" applyFill="1" applyBorder="1"/>
    <xf numFmtId="0" fontId="0" fillId="8" borderId="0" xfId="0" applyFill="1"/>
    <xf numFmtId="0" fontId="0" fillId="8" borderId="22" xfId="0" applyFill="1" applyBorder="1"/>
    <xf numFmtId="14" fontId="1" fillId="18" borderId="23" xfId="0" applyNumberFormat="1" applyFont="1" applyFill="1" applyBorder="1"/>
    <xf numFmtId="0" fontId="5" fillId="8" borderId="22" xfId="0" applyFont="1" applyFill="1" applyBorder="1"/>
    <xf numFmtId="44" fontId="0" fillId="0" borderId="0" xfId="1" applyFont="1"/>
    <xf numFmtId="44" fontId="0" fillId="3" borderId="11" xfId="1" applyFont="1" applyFill="1" applyBorder="1"/>
    <xf numFmtId="44" fontId="0" fillId="0" borderId="0" xfId="0" applyNumberFormat="1"/>
    <xf numFmtId="44" fontId="0" fillId="0" borderId="0" xfId="1" applyFont="1" applyBorder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4" fillId="7" borderId="0" xfId="0" applyFont="1" applyFill="1"/>
    <xf numFmtId="164" fontId="0" fillId="2" borderId="21" xfId="1" applyNumberFormat="1" applyFont="1" applyFill="1" applyBorder="1"/>
    <xf numFmtId="164" fontId="0" fillId="2" borderId="22" xfId="1" applyNumberFormat="1" applyFont="1" applyFill="1" applyBorder="1"/>
    <xf numFmtId="0" fontId="1" fillId="4" borderId="2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0" fontId="0" fillId="11" borderId="8" xfId="2" applyNumberFormat="1" applyFont="1" applyFill="1" applyBorder="1"/>
    <xf numFmtId="164" fontId="0" fillId="11" borderId="16" xfId="0" applyNumberFormat="1" applyFill="1" applyBorder="1"/>
    <xf numFmtId="10" fontId="0" fillId="14" borderId="1" xfId="2" applyNumberFormat="1" applyFont="1" applyFill="1" applyBorder="1"/>
    <xf numFmtId="164" fontId="0" fillId="14" borderId="17" xfId="0" applyNumberFormat="1" applyFill="1" applyBorder="1"/>
    <xf numFmtId="10" fontId="0" fillId="15" borderId="1" xfId="2" applyNumberFormat="1" applyFont="1" applyFill="1" applyBorder="1"/>
    <xf numFmtId="164" fontId="0" fillId="11" borderId="14" xfId="0" applyNumberFormat="1" applyFill="1" applyBorder="1"/>
    <xf numFmtId="164" fontId="0" fillId="14" borderId="20" xfId="0" applyNumberFormat="1" applyFill="1" applyBorder="1"/>
    <xf numFmtId="164" fontId="0" fillId="23" borderId="20" xfId="0" applyNumberFormat="1" applyFill="1" applyBorder="1"/>
    <xf numFmtId="164" fontId="0" fillId="15" borderId="20" xfId="0" applyNumberFormat="1" applyFill="1" applyBorder="1"/>
    <xf numFmtId="164" fontId="0" fillId="16" borderId="20" xfId="0" applyNumberFormat="1" applyFill="1" applyBorder="1"/>
    <xf numFmtId="164" fontId="0" fillId="16" borderId="15" xfId="0" applyNumberFormat="1" applyFill="1" applyBorder="1"/>
    <xf numFmtId="0" fontId="0" fillId="21" borderId="21" xfId="0" applyFill="1" applyBorder="1"/>
    <xf numFmtId="164" fontId="0" fillId="15" borderId="17" xfId="0" applyNumberFormat="1" applyFill="1" applyBorder="1"/>
    <xf numFmtId="0" fontId="1" fillId="14" borderId="2" xfId="0" applyFont="1" applyFill="1" applyBorder="1" applyAlignment="1">
      <alignment horizontal="center" vertical="center"/>
    </xf>
    <xf numFmtId="164" fontId="0" fillId="14" borderId="33" xfId="1" applyNumberFormat="1" applyFont="1" applyFill="1" applyBorder="1"/>
    <xf numFmtId="164" fontId="0" fillId="10" borderId="35" xfId="1" applyNumberFormat="1" applyFont="1" applyFill="1" applyBorder="1"/>
    <xf numFmtId="164" fontId="0" fillId="11" borderId="17" xfId="1" applyNumberFormat="1" applyFont="1" applyFill="1" applyBorder="1"/>
    <xf numFmtId="164" fontId="0" fillId="12" borderId="17" xfId="1" applyNumberFormat="1" applyFont="1" applyFill="1" applyBorder="1"/>
    <xf numFmtId="164" fontId="0" fillId="9" borderId="17" xfId="1" applyNumberFormat="1" applyFont="1" applyFill="1" applyBorder="1"/>
    <xf numFmtId="164" fontId="0" fillId="5" borderId="17" xfId="1" applyNumberFormat="1" applyFont="1" applyFill="1" applyBorder="1"/>
    <xf numFmtId="164" fontId="0" fillId="6" borderId="17" xfId="1" applyNumberFormat="1" applyFont="1" applyFill="1" applyBorder="1"/>
    <xf numFmtId="164" fontId="0" fillId="7" borderId="17" xfId="1" applyNumberFormat="1" applyFont="1" applyFill="1" applyBorder="1"/>
    <xf numFmtId="164" fontId="0" fillId="4" borderId="18" xfId="1" applyNumberFormat="1" applyFont="1" applyFill="1" applyBorder="1"/>
    <xf numFmtId="164" fontId="0" fillId="2" borderId="0" xfId="1" applyNumberFormat="1" applyFont="1" applyFill="1" applyBorder="1"/>
    <xf numFmtId="0" fontId="0" fillId="5" borderId="0" xfId="0" applyFill="1"/>
    <xf numFmtId="0" fontId="0" fillId="25" borderId="0" xfId="0" applyFill="1"/>
    <xf numFmtId="0" fontId="0" fillId="6" borderId="0" xfId="0" applyFill="1"/>
    <xf numFmtId="0" fontId="0" fillId="4" borderId="0" xfId="0" applyFill="1"/>
    <xf numFmtId="0" fontId="5" fillId="8" borderId="0" xfId="0" applyFont="1" applyFill="1"/>
    <xf numFmtId="0" fontId="0" fillId="5" borderId="22" xfId="0" applyFill="1" applyBorder="1"/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 wrapText="1"/>
    </xf>
    <xf numFmtId="0" fontId="0" fillId="4" borderId="21" xfId="0" applyFill="1" applyBorder="1"/>
    <xf numFmtId="0" fontId="0" fillId="4" borderId="22" xfId="0" applyFill="1" applyBorder="1"/>
    <xf numFmtId="0" fontId="4" fillId="4" borderId="0" xfId="0" applyFont="1" applyFill="1"/>
    <xf numFmtId="0" fontId="1" fillId="25" borderId="37" xfId="0" applyFont="1" applyFill="1" applyBorder="1" applyAlignment="1">
      <alignment horizontal="center" vertical="center"/>
    </xf>
    <xf numFmtId="0" fontId="1" fillId="25" borderId="33" xfId="0" applyFont="1" applyFill="1" applyBorder="1" applyAlignment="1">
      <alignment horizontal="center" vertical="center" wrapText="1"/>
    </xf>
    <xf numFmtId="0" fontId="1" fillId="7" borderId="3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 wrapText="1"/>
    </xf>
    <xf numFmtId="0" fontId="0" fillId="6" borderId="21" xfId="0" applyFill="1" applyBorder="1"/>
    <xf numFmtId="0" fontId="0" fillId="6" borderId="22" xfId="0" applyFill="1" applyBorder="1"/>
    <xf numFmtId="0" fontId="4" fillId="6" borderId="21" xfId="0" applyFont="1" applyFill="1" applyBorder="1"/>
    <xf numFmtId="0" fontId="1" fillId="18" borderId="20" xfId="0" applyFont="1" applyFill="1" applyBorder="1" applyAlignment="1">
      <alignment horizontal="center" vertical="center" wrapText="1"/>
    </xf>
    <xf numFmtId="0" fontId="1" fillId="18" borderId="17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18" borderId="1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18" borderId="14" xfId="0" applyFont="1" applyFill="1" applyBorder="1" applyAlignment="1">
      <alignment horizontal="center" vertical="center" wrapText="1"/>
    </xf>
    <xf numFmtId="0" fontId="1" fillId="18" borderId="1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0" fillId="8" borderId="0" xfId="0" applyFill="1" applyBorder="1"/>
    <xf numFmtId="164" fontId="1" fillId="27" borderId="13" xfId="1" applyNumberFormat="1" applyFont="1" applyFill="1" applyBorder="1" applyAlignment="1">
      <alignment horizontal="center"/>
    </xf>
    <xf numFmtId="164" fontId="1" fillId="27" borderId="23" xfId="1" applyNumberFormat="1" applyFont="1" applyFill="1" applyBorder="1" applyAlignment="1">
      <alignment horizontal="center"/>
    </xf>
    <xf numFmtId="164" fontId="1" fillId="27" borderId="32" xfId="1" applyNumberFormat="1" applyFont="1" applyFill="1" applyBorder="1" applyAlignment="1">
      <alignment horizontal="center"/>
    </xf>
    <xf numFmtId="10" fontId="1" fillId="27" borderId="13" xfId="0" applyNumberFormat="1" applyFont="1" applyFill="1" applyBorder="1" applyAlignment="1">
      <alignment horizontal="center"/>
    </xf>
    <xf numFmtId="10" fontId="1" fillId="27" borderId="23" xfId="0" applyNumberFormat="1" applyFont="1" applyFill="1" applyBorder="1" applyAlignment="1">
      <alignment horizontal="center"/>
    </xf>
    <xf numFmtId="10" fontId="1" fillId="27" borderId="32" xfId="0" applyNumberFormat="1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0" fillId="5" borderId="0" xfId="0" applyFill="1" applyBorder="1"/>
    <xf numFmtId="0" fontId="0" fillId="20" borderId="13" xfId="0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20" borderId="32" xfId="0" applyFill="1" applyBorder="1" applyAlignment="1">
      <alignment horizontal="center"/>
    </xf>
    <xf numFmtId="10" fontId="0" fillId="16" borderId="39" xfId="2" applyNumberFormat="1" applyFont="1" applyFill="1" applyBorder="1"/>
    <xf numFmtId="164" fontId="0" fillId="16" borderId="34" xfId="0" applyNumberFormat="1" applyFill="1" applyBorder="1"/>
    <xf numFmtId="0" fontId="0" fillId="21" borderId="1" xfId="0" applyFill="1" applyBorder="1"/>
    <xf numFmtId="0" fontId="0" fillId="21" borderId="0" xfId="0" applyFill="1" applyBorder="1"/>
    <xf numFmtId="0" fontId="1" fillId="21" borderId="0" xfId="0" applyFont="1" applyFill="1" applyBorder="1"/>
    <xf numFmtId="0" fontId="0" fillId="21" borderId="9" xfId="0" applyFill="1" applyBorder="1"/>
    <xf numFmtId="0" fontId="0" fillId="22" borderId="4" xfId="0" applyFill="1" applyBorder="1" applyAlignment="1">
      <alignment horizontal="center"/>
    </xf>
    <xf numFmtId="0" fontId="0" fillId="22" borderId="0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2" fillId="24" borderId="21" xfId="0" applyFont="1" applyFill="1" applyBorder="1" applyAlignment="1">
      <alignment horizontal="center" vertical="center"/>
    </xf>
    <xf numFmtId="0" fontId="2" fillId="24" borderId="0" xfId="0" applyFont="1" applyFill="1" applyBorder="1" applyAlignment="1">
      <alignment horizontal="center" vertical="center"/>
    </xf>
    <xf numFmtId="0" fontId="2" fillId="24" borderId="22" xfId="0" applyFont="1" applyFill="1" applyBorder="1" applyAlignment="1">
      <alignment horizontal="center" vertical="center"/>
    </xf>
    <xf numFmtId="0" fontId="1" fillId="13" borderId="21" xfId="0" applyFont="1" applyFill="1" applyBorder="1" applyAlignment="1">
      <alignment horizontal="center" vertical="center"/>
    </xf>
    <xf numFmtId="0" fontId="1" fillId="13" borderId="0" xfId="0" applyFont="1" applyFill="1" applyBorder="1" applyAlignment="1">
      <alignment horizontal="center" vertical="center"/>
    </xf>
    <xf numFmtId="0" fontId="1" fillId="16" borderId="0" xfId="0" applyFont="1" applyFill="1" applyBorder="1" applyAlignment="1">
      <alignment horizontal="center" vertical="center" wrapText="1"/>
    </xf>
    <xf numFmtId="0" fontId="1" fillId="17" borderId="0" xfId="0" applyFont="1" applyFill="1" applyBorder="1" applyAlignment="1">
      <alignment horizontal="center" vertical="center" wrapText="1"/>
    </xf>
    <xf numFmtId="0" fontId="0" fillId="22" borderId="5" xfId="0" applyFill="1" applyBorder="1" applyAlignment="1">
      <alignment horizontal="center"/>
    </xf>
    <xf numFmtId="0" fontId="0" fillId="22" borderId="6" xfId="0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0" fontId="0" fillId="22" borderId="11" xfId="0" applyFill="1" applyBorder="1" applyAlignment="1">
      <alignment horizontal="center"/>
    </xf>
    <xf numFmtId="0" fontId="1" fillId="16" borderId="22" xfId="0" applyFont="1" applyFill="1" applyBorder="1" applyAlignment="1">
      <alignment horizontal="center" vertical="center" wrapText="1"/>
    </xf>
    <xf numFmtId="0" fontId="1" fillId="28" borderId="0" xfId="0" applyFont="1" applyFill="1" applyBorder="1" applyAlignment="1">
      <alignment horizontal="center" vertical="center" wrapText="1"/>
    </xf>
    <xf numFmtId="0" fontId="1" fillId="29" borderId="21" xfId="0" applyFont="1" applyFill="1" applyBorder="1" applyAlignment="1">
      <alignment horizontal="center" vertical="center"/>
    </xf>
    <xf numFmtId="0" fontId="0" fillId="22" borderId="22" xfId="0" applyFill="1" applyBorder="1" applyAlignment="1">
      <alignment horizontal="center"/>
    </xf>
    <xf numFmtId="0" fontId="1" fillId="29" borderId="4" xfId="0" applyFont="1" applyFill="1" applyBorder="1" applyAlignment="1">
      <alignment horizontal="center" vertical="center"/>
    </xf>
    <xf numFmtId="0" fontId="1" fillId="28" borderId="5" xfId="0" applyFont="1" applyFill="1" applyBorder="1" applyAlignment="1">
      <alignment horizontal="center" vertical="center" wrapText="1"/>
    </xf>
    <xf numFmtId="0" fontId="1" fillId="29" borderId="10" xfId="0" applyFont="1" applyFill="1" applyBorder="1" applyAlignment="1">
      <alignment horizontal="center" vertical="center"/>
    </xf>
    <xf numFmtId="0" fontId="1" fillId="28" borderId="11" xfId="0" applyFont="1" applyFill="1" applyBorder="1" applyAlignment="1">
      <alignment horizontal="center" vertical="center" wrapText="1"/>
    </xf>
    <xf numFmtId="0" fontId="1" fillId="17" borderId="11" xfId="0" applyFont="1" applyFill="1" applyBorder="1" applyAlignment="1">
      <alignment horizontal="center" vertical="center" wrapText="1"/>
    </xf>
    <xf numFmtId="0" fontId="1" fillId="16" borderId="11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1" fillId="16" borderId="12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0" xfId="0" applyFont="1" applyFill="1" applyBorder="1" applyAlignment="1">
      <alignment horizontal="center" vertical="center" wrapText="1"/>
    </xf>
    <xf numFmtId="164" fontId="0" fillId="0" borderId="22" xfId="1" applyNumberFormat="1" applyFont="1" applyFill="1" applyBorder="1"/>
    <xf numFmtId="0" fontId="1" fillId="0" borderId="0" xfId="0" applyFont="1" applyFill="1" applyAlignment="1">
      <alignment horizontal="center"/>
    </xf>
    <xf numFmtId="164" fontId="0" fillId="0" borderId="0" xfId="0" applyNumberFormat="1" applyFill="1"/>
    <xf numFmtId="0" fontId="0" fillId="0" borderId="0" xfId="0" applyFill="1" applyAlignment="1">
      <alignment horizontal="right"/>
    </xf>
    <xf numFmtId="164" fontId="0" fillId="15" borderId="13" xfId="1" applyNumberFormat="1" applyFont="1" applyFill="1" applyBorder="1"/>
    <xf numFmtId="164" fontId="0" fillId="16" borderId="23" xfId="1" applyNumberFormat="1" applyFont="1" applyFill="1" applyBorder="1"/>
    <xf numFmtId="164" fontId="0" fillId="17" borderId="23" xfId="1" applyNumberFormat="1" applyFont="1" applyFill="1" applyBorder="1"/>
    <xf numFmtId="164" fontId="0" fillId="26" borderId="23" xfId="1" applyNumberFormat="1" applyFont="1" applyFill="1" applyBorder="1"/>
    <xf numFmtId="164" fontId="0" fillId="26" borderId="32" xfId="1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AD6C2"/>
      <color rgb="FFF6BC94"/>
      <color rgb="FFF29886"/>
      <color rgb="FFA2B9E2"/>
      <color rgb="FFF2B300"/>
      <color rgb="FF669E40"/>
      <color rgb="FF4C7731"/>
      <color rgb="FFFB6B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0B34-FD36-4AC1-95E7-73224283BFAF}">
  <dimension ref="A1:BV157"/>
  <sheetViews>
    <sheetView tabSelected="1" zoomScale="93" zoomScaleNormal="74" workbookViewId="0">
      <pane ySplit="5" topLeftCell="A6" activePane="bottomLeft" state="frozen"/>
      <selection pane="bottomLeft" activeCell="AS7" sqref="AS7"/>
    </sheetView>
  </sheetViews>
  <sheetFormatPr defaultRowHeight="15" x14ac:dyDescent="0.25"/>
  <cols>
    <col min="1" max="1" width="18.42578125" style="41" bestFit="1" customWidth="1"/>
    <col min="2" max="2" width="12.5703125" style="68" bestFit="1" customWidth="1"/>
    <col min="3" max="3" width="11" style="68" bestFit="1" customWidth="1"/>
    <col min="4" max="4" width="11" style="42" bestFit="1" customWidth="1"/>
    <col min="5" max="5" width="14" bestFit="1" customWidth="1"/>
    <col min="6" max="6" width="16" customWidth="1"/>
    <col min="7" max="7" width="12.85546875" bestFit="1" customWidth="1"/>
    <col min="8" max="8" width="12.85546875" customWidth="1"/>
    <col min="9" max="9" width="12.85546875" bestFit="1" customWidth="1"/>
    <col min="10" max="10" width="14" bestFit="1" customWidth="1"/>
    <col min="11" max="11" width="16" style="5" customWidth="1"/>
    <col min="12" max="12" width="13.28515625" style="145" customWidth="1"/>
    <col min="13" max="13" width="9.85546875" style="69" bestFit="1" customWidth="1"/>
    <col min="14" max="14" width="10.7109375" style="69" customWidth="1"/>
    <col min="15" max="15" width="9.85546875" style="69" customWidth="1"/>
    <col min="16" max="16" width="14.85546875" style="69" customWidth="1"/>
    <col min="17" max="17" width="17.7109375" style="74" customWidth="1"/>
    <col min="18" max="18" width="15.7109375" style="70" customWidth="1"/>
    <col min="19" max="19" width="11.140625" style="102" customWidth="1"/>
    <col min="20" max="20" width="16.85546875" style="71" customWidth="1"/>
    <col min="21" max="21" width="14.28515625" style="103" customWidth="1"/>
    <col min="22" max="22" width="12" style="2" bestFit="1" customWidth="1"/>
    <col min="23" max="23" width="50.5703125" style="2" bestFit="1" customWidth="1"/>
    <col min="24" max="24" width="8.7109375" style="2" bestFit="1" customWidth="1"/>
    <col min="25" max="25" width="37.140625" style="2" bestFit="1" customWidth="1"/>
    <col min="26" max="26" width="8.28515625" style="94" bestFit="1" customWidth="1"/>
    <col min="27" max="27" width="36.85546875" style="72" bestFit="1" customWidth="1"/>
    <col min="28" max="28" width="8.140625" style="72" bestFit="1" customWidth="1"/>
    <col min="29" max="29" width="10.5703125" style="72" customWidth="1"/>
    <col min="30" max="30" width="13.85546875" style="95" customWidth="1"/>
    <col min="31" max="31" width="14.42578125" style="30" bestFit="1" customWidth="1"/>
    <col min="32" max="32" width="45.5703125" style="30" bestFit="1" customWidth="1"/>
    <col min="33" max="33" width="7.85546875" style="30" bestFit="1" customWidth="1"/>
    <col min="34" max="34" width="38.28515625" style="31" customWidth="1"/>
    <col min="35" max="36" width="15.5703125" customWidth="1"/>
    <col min="37" max="37" width="11.7109375" bestFit="1" customWidth="1"/>
    <col min="38" max="38" width="17.5703125" bestFit="1" customWidth="1"/>
    <col min="39" max="39" width="14.28515625" bestFit="1" customWidth="1"/>
    <col min="40" max="40" width="14.28515625" customWidth="1"/>
    <col min="41" max="41" width="14.85546875" bestFit="1" customWidth="1"/>
    <col min="42" max="42" width="14.5703125" bestFit="1" customWidth="1"/>
    <col min="43" max="43" width="14.5703125" customWidth="1"/>
    <col min="44" max="44" width="12.85546875" bestFit="1" customWidth="1"/>
    <col min="45" max="45" width="13.5703125" customWidth="1"/>
    <col min="46" max="46" width="19.42578125" customWidth="1"/>
    <col min="47" max="47" width="19.28515625" customWidth="1"/>
    <col min="48" max="48" width="20.42578125" bestFit="1" customWidth="1"/>
    <col min="49" max="49" width="20.42578125" customWidth="1"/>
    <col min="50" max="50" width="20.42578125" style="184" customWidth="1"/>
    <col min="51" max="51" width="20.42578125" customWidth="1"/>
    <col min="52" max="52" width="16" customWidth="1"/>
    <col min="53" max="53" width="17.7109375" customWidth="1"/>
    <col min="54" max="54" width="16.85546875" customWidth="1"/>
    <col min="55" max="55" width="18.85546875" customWidth="1"/>
    <col min="56" max="56" width="15.85546875" customWidth="1"/>
    <col min="57" max="57" width="18.140625" customWidth="1"/>
    <col min="58" max="58" width="16.28515625" customWidth="1"/>
    <col min="59" max="59" width="13.85546875" bestFit="1" customWidth="1"/>
    <col min="60" max="61" width="15" bestFit="1" customWidth="1"/>
    <col min="62" max="62" width="22" bestFit="1" customWidth="1"/>
    <col min="63" max="63" width="15.42578125" bestFit="1" customWidth="1"/>
    <col min="64" max="64" width="18.5703125" bestFit="1" customWidth="1"/>
    <col min="65" max="65" width="13.28515625" bestFit="1" customWidth="1"/>
    <col min="66" max="66" width="13.85546875" bestFit="1" customWidth="1"/>
    <col min="67" max="67" width="13.28515625" bestFit="1" customWidth="1"/>
    <col min="68" max="68" width="19.42578125" bestFit="1" customWidth="1"/>
    <col min="69" max="69" width="13.85546875" customWidth="1"/>
    <col min="70" max="70" width="12.140625" bestFit="1" customWidth="1"/>
    <col min="71" max="71" width="12.28515625" bestFit="1" customWidth="1"/>
    <col min="72" max="72" width="12.140625" bestFit="1" customWidth="1"/>
    <col min="73" max="73" width="13.140625" bestFit="1" customWidth="1"/>
  </cols>
  <sheetData>
    <row r="1" spans="1:61" ht="15.75" thickBot="1" x14ac:dyDescent="0.3">
      <c r="A1" s="3" t="s">
        <v>50</v>
      </c>
      <c r="B1" s="32">
        <v>45927</v>
      </c>
      <c r="C1" s="155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9"/>
    </row>
    <row r="2" spans="1:61" ht="15.75" thickBot="1" x14ac:dyDescent="0.3">
      <c r="A2" s="3" t="s">
        <v>28</v>
      </c>
      <c r="B2" s="32">
        <v>45562</v>
      </c>
      <c r="C2" s="170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56"/>
      <c r="AT2" s="156"/>
      <c r="AU2" s="156"/>
      <c r="AV2" s="156"/>
      <c r="AW2" s="175"/>
    </row>
    <row r="3" spans="1:61" ht="15.75" thickBot="1" x14ac:dyDescent="0.3">
      <c r="A3" s="109" t="s">
        <v>0</v>
      </c>
      <c r="B3" s="110"/>
      <c r="C3" s="157"/>
      <c r="D3" s="158"/>
      <c r="E3" s="159" t="s">
        <v>27</v>
      </c>
      <c r="F3" s="159"/>
      <c r="G3" s="159"/>
      <c r="H3" s="159"/>
      <c r="I3" s="159"/>
      <c r="J3" s="160"/>
      <c r="K3" s="161" t="s">
        <v>1</v>
      </c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3"/>
      <c r="AI3" s="164" t="s">
        <v>78</v>
      </c>
      <c r="AJ3" s="165"/>
      <c r="AK3" s="165"/>
      <c r="AL3" s="165"/>
      <c r="AM3" s="165"/>
      <c r="AN3" s="165"/>
      <c r="AO3" s="165"/>
      <c r="AP3" s="165"/>
      <c r="AQ3" s="165"/>
      <c r="AR3" s="165"/>
      <c r="AS3" s="176" t="s">
        <v>18</v>
      </c>
      <c r="AT3" s="177" t="s">
        <v>93</v>
      </c>
      <c r="AU3" s="131" t="s">
        <v>46</v>
      </c>
      <c r="AV3" s="130" t="s">
        <v>57</v>
      </c>
      <c r="AW3" s="182" t="s">
        <v>94</v>
      </c>
      <c r="AX3" s="185"/>
      <c r="AZ3" s="12"/>
      <c r="BA3" s="13"/>
      <c r="BB3" s="17"/>
      <c r="BC3" s="18" t="s">
        <v>29</v>
      </c>
      <c r="BD3" s="14">
        <f ca="1">DATEDIF(B2,BE3,"D")</f>
        <v>370</v>
      </c>
      <c r="BE3" s="19">
        <f ca="1">TODAY()</f>
        <v>45932</v>
      </c>
      <c r="BF3" s="146"/>
      <c r="BG3" s="147"/>
      <c r="BH3" s="147"/>
      <c r="BI3" s="148"/>
    </row>
    <row r="4" spans="1:61" ht="15.75" thickBot="1" x14ac:dyDescent="0.3">
      <c r="A4" s="111"/>
      <c r="B4" s="112"/>
      <c r="C4" s="112"/>
      <c r="D4" s="113"/>
      <c r="E4" s="114"/>
      <c r="F4" s="114"/>
      <c r="G4" s="114"/>
      <c r="H4" s="114"/>
      <c r="I4" s="114"/>
      <c r="J4" s="115"/>
      <c r="K4" s="132" t="s">
        <v>91</v>
      </c>
      <c r="L4" s="133"/>
      <c r="M4" s="133"/>
      <c r="N4" s="133"/>
      <c r="O4" s="133"/>
      <c r="P4" s="133"/>
      <c r="Q4" s="134"/>
      <c r="R4" s="97" t="s">
        <v>48</v>
      </c>
      <c r="S4" s="116" t="s">
        <v>2</v>
      </c>
      <c r="T4" s="117"/>
      <c r="U4" s="118"/>
      <c r="V4" s="122" t="s">
        <v>21</v>
      </c>
      <c r="W4" s="122"/>
      <c r="X4" s="122"/>
      <c r="Y4" s="122"/>
      <c r="Z4" s="119" t="s">
        <v>23</v>
      </c>
      <c r="AA4" s="120"/>
      <c r="AB4" s="120"/>
      <c r="AC4" s="120"/>
      <c r="AD4" s="121"/>
      <c r="AE4" s="127" t="s">
        <v>3</v>
      </c>
      <c r="AF4" s="127"/>
      <c r="AG4" s="127"/>
      <c r="AH4" s="128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74"/>
      <c r="AT4" s="173"/>
      <c r="AU4" s="167"/>
      <c r="AV4" s="166"/>
      <c r="AW4" s="172"/>
      <c r="AX4" s="185"/>
      <c r="AZ4" s="125" t="s">
        <v>0</v>
      </c>
      <c r="BA4" s="105" t="s">
        <v>37</v>
      </c>
      <c r="BB4" s="105" t="s">
        <v>38</v>
      </c>
      <c r="BC4" s="105" t="s">
        <v>39</v>
      </c>
      <c r="BD4" s="105" t="s">
        <v>40</v>
      </c>
      <c r="BE4" s="105" t="s">
        <v>92</v>
      </c>
      <c r="BF4" s="105" t="s">
        <v>54</v>
      </c>
      <c r="BG4" s="105" t="s">
        <v>55</v>
      </c>
      <c r="BH4" s="107" t="s">
        <v>56</v>
      </c>
      <c r="BI4" s="107" t="s">
        <v>90</v>
      </c>
    </row>
    <row r="5" spans="1:61" ht="75.75" thickBot="1" x14ac:dyDescent="0.3">
      <c r="A5" s="75" t="s">
        <v>8</v>
      </c>
      <c r="B5" s="76" t="s">
        <v>32</v>
      </c>
      <c r="C5" s="76" t="s">
        <v>12</v>
      </c>
      <c r="D5" s="77" t="s">
        <v>3</v>
      </c>
      <c r="E5" s="78" t="s">
        <v>8</v>
      </c>
      <c r="F5" s="79" t="s">
        <v>17</v>
      </c>
      <c r="G5" s="80" t="s">
        <v>45</v>
      </c>
      <c r="H5" s="80" t="s">
        <v>53</v>
      </c>
      <c r="I5" s="79" t="s">
        <v>3</v>
      </c>
      <c r="J5" s="81" t="s">
        <v>4</v>
      </c>
      <c r="K5" s="82" t="s">
        <v>88</v>
      </c>
      <c r="L5" s="144" t="s">
        <v>89</v>
      </c>
      <c r="M5" s="143" t="s">
        <v>87</v>
      </c>
      <c r="N5" s="143" t="s">
        <v>86</v>
      </c>
      <c r="O5" s="83" t="s">
        <v>85</v>
      </c>
      <c r="P5" s="142" t="s">
        <v>84</v>
      </c>
      <c r="Q5" s="84" t="s">
        <v>83</v>
      </c>
      <c r="R5" s="98" t="s">
        <v>82</v>
      </c>
      <c r="S5" s="100" t="s">
        <v>5</v>
      </c>
      <c r="T5" s="85" t="s">
        <v>81</v>
      </c>
      <c r="U5" s="101" t="s">
        <v>80</v>
      </c>
      <c r="V5" s="99" t="s">
        <v>20</v>
      </c>
      <c r="W5" s="86" t="s">
        <v>79</v>
      </c>
      <c r="X5" s="86" t="s">
        <v>44</v>
      </c>
      <c r="Y5" s="92" t="s">
        <v>79</v>
      </c>
      <c r="Z5" s="87" t="s">
        <v>41</v>
      </c>
      <c r="AA5" s="88" t="s">
        <v>79</v>
      </c>
      <c r="AB5" s="88" t="s">
        <v>22</v>
      </c>
      <c r="AC5" s="88" t="s">
        <v>11</v>
      </c>
      <c r="AD5" s="93" t="s">
        <v>65</v>
      </c>
      <c r="AE5" s="90" t="s">
        <v>6</v>
      </c>
      <c r="AF5" s="89" t="s">
        <v>7</v>
      </c>
      <c r="AG5" s="89" t="s">
        <v>33</v>
      </c>
      <c r="AH5" s="91" t="s">
        <v>7</v>
      </c>
      <c r="AI5" s="6" t="str">
        <f>K4</f>
        <v>Housing, Utilities, etc.</v>
      </c>
      <c r="AJ5" s="6" t="s">
        <v>48</v>
      </c>
      <c r="AK5" s="7" t="str">
        <f>S5</f>
        <v>Groceries</v>
      </c>
      <c r="AL5" s="8" t="str">
        <f>CONCATENATE(T5, "/", U5)</f>
        <v>Restaursant, Fast Food, Cafes, Etc./Bar, Liquor Stores, other "Vices"</v>
      </c>
      <c r="AM5" s="9" t="s">
        <v>21</v>
      </c>
      <c r="AN5" s="44" t="s">
        <v>52</v>
      </c>
      <c r="AO5" s="24" t="s">
        <v>51</v>
      </c>
      <c r="AP5" s="10" t="str">
        <f>AE5</f>
        <v xml:space="preserve">Miscellaneous </v>
      </c>
      <c r="AQ5" s="43" t="str">
        <f>AG5</f>
        <v>Gifts</v>
      </c>
      <c r="AR5" s="58" t="s">
        <v>4</v>
      </c>
      <c r="AS5" s="178"/>
      <c r="AT5" s="179"/>
      <c r="AU5" s="180"/>
      <c r="AV5" s="181"/>
      <c r="AW5" s="183"/>
      <c r="AX5" s="185"/>
      <c r="AZ5" s="126"/>
      <c r="BA5" s="106"/>
      <c r="BB5" s="106"/>
      <c r="BC5" s="106"/>
      <c r="BD5" s="106"/>
      <c r="BE5" s="106"/>
      <c r="BF5" s="106"/>
      <c r="BG5" s="106"/>
      <c r="BH5" s="108"/>
      <c r="BI5" s="108"/>
    </row>
    <row r="6" spans="1:61" ht="15.75" thickBot="1" x14ac:dyDescent="0.3">
      <c r="A6" s="41">
        <v>5000</v>
      </c>
      <c r="B6" s="68">
        <v>25000</v>
      </c>
      <c r="C6" s="68">
        <v>4500</v>
      </c>
      <c r="D6" s="42">
        <v>2500</v>
      </c>
      <c r="E6" s="35">
        <f>SUM(A6:A1000001)</f>
        <v>65000</v>
      </c>
      <c r="F6" s="35">
        <f>SUM(B6:C100001)</f>
        <v>29500</v>
      </c>
      <c r="G6" s="35">
        <v>11000</v>
      </c>
      <c r="H6" s="35">
        <v>5000</v>
      </c>
      <c r="I6" s="35">
        <f>SUM(D:D)</f>
        <v>2500</v>
      </c>
      <c r="J6" s="35">
        <f>SUM(E6:I6)</f>
        <v>113000</v>
      </c>
      <c r="K6" s="5">
        <v>1000</v>
      </c>
      <c r="L6" s="145">
        <v>3000</v>
      </c>
      <c r="M6" s="69">
        <v>35</v>
      </c>
      <c r="N6" s="69">
        <v>30</v>
      </c>
      <c r="O6" s="69">
        <v>10</v>
      </c>
      <c r="P6" s="69">
        <v>22</v>
      </c>
      <c r="Q6" s="74">
        <v>40</v>
      </c>
      <c r="R6" s="70">
        <v>13.45</v>
      </c>
      <c r="S6" s="102">
        <v>138.27000000000001</v>
      </c>
      <c r="T6" s="71">
        <v>21.71</v>
      </c>
      <c r="U6" s="103">
        <v>16.02</v>
      </c>
      <c r="V6" s="2">
        <v>13.9</v>
      </c>
      <c r="W6" s="2" t="s">
        <v>19</v>
      </c>
      <c r="X6" s="2">
        <v>1500</v>
      </c>
      <c r="Y6" s="2" t="s">
        <v>71</v>
      </c>
      <c r="Z6" s="94">
        <v>240</v>
      </c>
      <c r="AA6" s="72" t="s">
        <v>66</v>
      </c>
      <c r="AB6" s="72">
        <v>17.43</v>
      </c>
      <c r="AC6" s="72">
        <v>65</v>
      </c>
      <c r="AD6" s="95">
        <v>100</v>
      </c>
      <c r="AE6" s="30">
        <v>800</v>
      </c>
      <c r="AF6" s="30" t="s">
        <v>9</v>
      </c>
      <c r="AG6" s="30">
        <v>500</v>
      </c>
      <c r="AH6" s="30" t="s">
        <v>61</v>
      </c>
      <c r="AI6" s="60">
        <f>SUM(K:Q)-SUM(L6:L1048576)</f>
        <v>13644</v>
      </c>
      <c r="AJ6" s="60">
        <f>SUM(R6:R1048576)</f>
        <v>253.61</v>
      </c>
      <c r="AK6" s="61">
        <f>SUM(S:S)</f>
        <v>1967.3300000000011</v>
      </c>
      <c r="AL6" s="62">
        <f>SUM(T:U)</f>
        <v>2419.31</v>
      </c>
      <c r="AM6" s="63">
        <f>SUM(V:V)+SUM(AD5:AD1048576)</f>
        <v>882.61</v>
      </c>
      <c r="AN6" s="64">
        <f>SUM(X5:X1048576)</f>
        <v>3000</v>
      </c>
      <c r="AO6" s="65">
        <f>SUM(AB$6:AC$1048576,Z6:Z1048576)</f>
        <v>2574.11</v>
      </c>
      <c r="AP6" s="66">
        <f>SUM(AE:AE)</f>
        <v>2038.83</v>
      </c>
      <c r="AQ6" s="67">
        <f>SUM(AG6:AG1048576)</f>
        <v>833.55</v>
      </c>
      <c r="AR6" s="59">
        <f>SUM(AI6:AQ6)</f>
        <v>27613.350000000002</v>
      </c>
      <c r="AS6" s="190">
        <f>SUM(AT6:AW6)</f>
        <v>85386.65</v>
      </c>
      <c r="AT6" s="191">
        <f>(E6+I6 - AR6)-AW6</f>
        <v>3886.6499999999942</v>
      </c>
      <c r="AU6" s="192">
        <f>F6</f>
        <v>29500</v>
      </c>
      <c r="AV6" s="193">
        <f>G6+H6</f>
        <v>16000</v>
      </c>
      <c r="AW6" s="194">
        <f>SUM(L6:L1048576)</f>
        <v>36000</v>
      </c>
      <c r="AX6" s="186"/>
      <c r="AY6" s="15" t="s">
        <v>36</v>
      </c>
      <c r="AZ6" s="50">
        <f ca="1">(J6/$BD$3)*7</f>
        <v>2137.8378378378379</v>
      </c>
      <c r="BA6" s="51">
        <f ca="1">(AR6/BD3)*7</f>
        <v>522.41472972972974</v>
      </c>
      <c r="BB6" s="52">
        <f ca="1">((AK6+AO6+AI6)/BD3)*7</f>
        <v>344.04886486486492</v>
      </c>
      <c r="BC6" s="52">
        <f ca="1">((AL6+AN6+AM6+AP6+AQ6+AJ6)/BD3)*7</f>
        <v>178.36586486486485</v>
      </c>
      <c r="BD6" s="53">
        <f ca="1">(AS6/$BD$3)*7</f>
        <v>1615.4231081081082</v>
      </c>
      <c r="BE6" s="54">
        <f ca="1">(AT6/$BD$3)*7</f>
        <v>73.531216216216109</v>
      </c>
      <c r="BF6" s="54">
        <f ca="1">(F6/$BD$3)*7</f>
        <v>558.10810810810813</v>
      </c>
      <c r="BG6" s="54">
        <f ca="1">(G6/$BD$3)*7</f>
        <v>208.1081081081081</v>
      </c>
      <c r="BH6" s="54">
        <f ca="1">(H6/$BD$3)*7</f>
        <v>94.594594594594597</v>
      </c>
      <c r="BI6" s="55">
        <f ca="1">(AW6/$BD$3)*7</f>
        <v>681.08108108108104</v>
      </c>
    </row>
    <row r="7" spans="1:61" x14ac:dyDescent="0.25">
      <c r="A7" s="41">
        <v>5000</v>
      </c>
      <c r="K7" s="5">
        <v>1000</v>
      </c>
      <c r="L7" s="145">
        <v>3000</v>
      </c>
      <c r="M7" s="69">
        <v>35</v>
      </c>
      <c r="N7" s="69">
        <v>30</v>
      </c>
      <c r="O7" s="69">
        <v>10</v>
      </c>
      <c r="P7" s="69">
        <v>22</v>
      </c>
      <c r="Q7" s="74">
        <v>40</v>
      </c>
      <c r="R7" s="70">
        <v>8.73</v>
      </c>
      <c r="S7" s="102">
        <f>17.8-7.37</f>
        <v>10.43</v>
      </c>
      <c r="T7" s="71">
        <v>38.909999999999997</v>
      </c>
      <c r="U7" s="103">
        <v>26.4</v>
      </c>
      <c r="V7" s="2">
        <v>23</v>
      </c>
      <c r="W7" s="2" t="s">
        <v>24</v>
      </c>
      <c r="X7" s="2">
        <v>1500</v>
      </c>
      <c r="Y7" s="2" t="s">
        <v>72</v>
      </c>
      <c r="Z7" s="94">
        <v>308</v>
      </c>
      <c r="AA7" s="72" t="s">
        <v>68</v>
      </c>
      <c r="AB7" s="72">
        <v>72.55</v>
      </c>
      <c r="AC7" s="72">
        <v>65</v>
      </c>
      <c r="AD7" s="95">
        <v>100</v>
      </c>
      <c r="AE7" s="30">
        <f>303.43+3.96+79.02+46.52+20.82+1.5+3.5</f>
        <v>458.74999999999994</v>
      </c>
      <c r="AF7" s="30" t="s">
        <v>62</v>
      </c>
      <c r="AG7" s="30">
        <v>75</v>
      </c>
      <c r="AH7" s="30" t="s">
        <v>58</v>
      </c>
      <c r="AI7" s="123" t="s">
        <v>77</v>
      </c>
      <c r="AJ7" s="123"/>
      <c r="AK7" s="123"/>
      <c r="AL7" s="123"/>
      <c r="AM7" s="123"/>
      <c r="AN7" s="123"/>
      <c r="AO7" s="123"/>
      <c r="AP7" s="123"/>
      <c r="AQ7" s="124"/>
      <c r="AR7" s="1"/>
      <c r="AS7" s="1"/>
      <c r="AV7" s="11"/>
      <c r="AW7" s="11"/>
      <c r="AX7" s="187"/>
      <c r="AY7" s="21" t="s">
        <v>34</v>
      </c>
      <c r="AZ7" s="45">
        <f t="shared" ref="AZ7:BF7" ca="1" si="0">AZ6/$AZ$6</f>
        <v>1</v>
      </c>
      <c r="BA7" s="47">
        <f t="shared" ca="1" si="0"/>
        <v>0.24436592920353981</v>
      </c>
      <c r="BB7" s="25">
        <f t="shared" ca="1" si="0"/>
        <v>0.16093309734513275</v>
      </c>
      <c r="BC7" s="25">
        <f t="shared" ca="1" si="0"/>
        <v>8.3432831858407067E-2</v>
      </c>
      <c r="BD7" s="49">
        <f t="shared" ca="1" si="0"/>
        <v>0.75563407079646017</v>
      </c>
      <c r="BE7" s="22">
        <f t="shared" ca="1" si="0"/>
        <v>3.4395132743362783E-2</v>
      </c>
      <c r="BF7" s="22">
        <f t="shared" ca="1" si="0"/>
        <v>0.26106194690265488</v>
      </c>
      <c r="BG7" s="149">
        <f ca="1">BG6/$AZ$6</f>
        <v>9.7345132743362817E-2</v>
      </c>
      <c r="BH7" s="22">
        <f t="shared" ref="BH7:BI7" ca="1" si="1">BH6/$AZ$6</f>
        <v>4.4247787610619468E-2</v>
      </c>
      <c r="BI7" s="27">
        <f t="shared" ca="1" si="1"/>
        <v>0.31858407079646012</v>
      </c>
    </row>
    <row r="8" spans="1:61" ht="15.75" thickBot="1" x14ac:dyDescent="0.3">
      <c r="A8" s="41">
        <v>5000</v>
      </c>
      <c r="K8" s="5">
        <v>1000</v>
      </c>
      <c r="L8" s="145">
        <v>3000</v>
      </c>
      <c r="M8" s="69">
        <v>35</v>
      </c>
      <c r="N8" s="69">
        <v>30</v>
      </c>
      <c r="O8" s="69">
        <v>10</v>
      </c>
      <c r="P8" s="69">
        <v>22</v>
      </c>
      <c r="Q8" s="74">
        <v>40</v>
      </c>
      <c r="R8" s="70">
        <v>11</v>
      </c>
      <c r="S8" s="102">
        <v>2.4500000000000002</v>
      </c>
      <c r="T8" s="71">
        <v>18.239999999999998</v>
      </c>
      <c r="U8" s="103">
        <v>7.16</v>
      </c>
      <c r="V8" s="2">
        <v>56</v>
      </c>
      <c r="W8" s="2" t="s">
        <v>30</v>
      </c>
      <c r="Z8" s="94">
        <v>577</v>
      </c>
      <c r="AA8" s="72" t="s">
        <v>67</v>
      </c>
      <c r="AB8" s="72">
        <v>292.79000000000002</v>
      </c>
      <c r="AC8" s="72">
        <v>65</v>
      </c>
      <c r="AD8" s="95">
        <v>50</v>
      </c>
      <c r="AE8" s="30">
        <v>12.71</v>
      </c>
      <c r="AF8" s="30" t="s">
        <v>26</v>
      </c>
      <c r="AG8" s="30">
        <v>133.55000000000001</v>
      </c>
      <c r="AH8" s="30" t="s">
        <v>59</v>
      </c>
      <c r="AI8" s="60">
        <f ca="1">(AI6/$BD$3)*7</f>
        <v>258.12972972972972</v>
      </c>
      <c r="AJ8" s="60">
        <f ca="1">(AJ6/$BD$3)*7</f>
        <v>4.7980270270270271</v>
      </c>
      <c r="AK8" s="61">
        <f ca="1">(AK6/$BD$3)*7</f>
        <v>37.21975675675678</v>
      </c>
      <c r="AL8" s="62">
        <f ca="1">(AL6/$BD$3)*7</f>
        <v>45.77072972972973</v>
      </c>
      <c r="AM8" s="63">
        <f ca="1">(AM6/$BD$3)*7</f>
        <v>16.698027027027027</v>
      </c>
      <c r="AN8" s="64">
        <f ca="1">(AN6/$BD$3)*7</f>
        <v>56.756756756756758</v>
      </c>
      <c r="AO8" s="65">
        <f ca="1">(AO6/$BD$3)*7</f>
        <v>48.699378378378377</v>
      </c>
      <c r="AP8" s="66">
        <f ca="1">(AP6/$BD$3)*7</f>
        <v>38.572459459459459</v>
      </c>
      <c r="AQ8" s="67">
        <f ca="1">(AQ6/$BD$3)*7</f>
        <v>15.769864864864864</v>
      </c>
      <c r="AS8" s="4"/>
      <c r="AV8" s="4"/>
      <c r="AW8" s="4"/>
      <c r="AX8" s="188"/>
      <c r="AY8" s="20" t="s">
        <v>25</v>
      </c>
      <c r="AZ8" s="56"/>
      <c r="BA8" s="152"/>
      <c r="BB8" s="25">
        <f ca="1">BB6/$BA$6</f>
        <v>0.65857420414401013</v>
      </c>
      <c r="BC8" s="25">
        <f ca="1">BC6/$BA$6</f>
        <v>0.34142579585598992</v>
      </c>
      <c r="BD8" s="153"/>
      <c r="BE8" s="152"/>
      <c r="BF8" s="152"/>
      <c r="BG8" s="152"/>
      <c r="BH8" s="151"/>
      <c r="BI8" s="154"/>
    </row>
    <row r="9" spans="1:61" ht="15.75" thickBot="1" x14ac:dyDescent="0.3">
      <c r="A9" s="41">
        <v>5000</v>
      </c>
      <c r="K9" s="5">
        <v>1000</v>
      </c>
      <c r="L9" s="145">
        <v>3000</v>
      </c>
      <c r="M9" s="69">
        <v>35</v>
      </c>
      <c r="N9" s="69">
        <v>30</v>
      </c>
      <c r="O9" s="69">
        <v>10</v>
      </c>
      <c r="P9" s="69">
        <v>22</v>
      </c>
      <c r="Q9" s="74">
        <v>40</v>
      </c>
      <c r="R9" s="70">
        <v>6.95</v>
      </c>
      <c r="S9" s="102">
        <v>7.93</v>
      </c>
      <c r="T9" s="71">
        <v>8.77</v>
      </c>
      <c r="U9" s="103">
        <v>16</v>
      </c>
      <c r="V9" s="2">
        <v>34</v>
      </c>
      <c r="W9" s="2" t="s">
        <v>31</v>
      </c>
      <c r="Z9" s="94">
        <v>52.5</v>
      </c>
      <c r="AA9" s="72" t="s">
        <v>70</v>
      </c>
      <c r="AB9" s="72">
        <v>127.15</v>
      </c>
      <c r="AC9" s="72">
        <v>65</v>
      </c>
      <c r="AD9" s="95">
        <v>45</v>
      </c>
      <c r="AE9" s="30">
        <v>240</v>
      </c>
      <c r="AF9" s="30" t="s">
        <v>13</v>
      </c>
      <c r="AG9" s="30">
        <v>75</v>
      </c>
      <c r="AH9" s="30" t="s">
        <v>58</v>
      </c>
      <c r="AI9" s="136" t="s">
        <v>75</v>
      </c>
      <c r="AJ9" s="137"/>
      <c r="AK9" s="137"/>
      <c r="AL9" s="137"/>
      <c r="AM9" s="137"/>
      <c r="AN9" s="137"/>
      <c r="AO9" s="137"/>
      <c r="AP9" s="137"/>
      <c r="AQ9" s="138"/>
      <c r="AR9" s="1"/>
      <c r="AY9" s="16" t="s">
        <v>35</v>
      </c>
      <c r="AZ9" s="46">
        <f ca="1">(J6/$BD$3)*365</f>
        <v>111472.97297297297</v>
      </c>
      <c r="BA9" s="48">
        <f ca="1">(AR6/$BD$3)*365</f>
        <v>27240.196621621621</v>
      </c>
      <c r="BB9" s="26">
        <f ca="1">((AK6+AO6+AI6)/$BD$3)*365</f>
        <v>17939.690810810815</v>
      </c>
      <c r="BC9" s="26">
        <f ca="1">((AL6+AJ6+AM6+AP6+AQ6+AN6)/$BD$3)*365</f>
        <v>9300.5058108108096</v>
      </c>
      <c r="BD9" s="57">
        <f ca="1">(AS6/$BD$3)*365</f>
        <v>84232.776351351349</v>
      </c>
      <c r="BE9" s="28">
        <f ca="1">(AT6/$BD$3)*365</f>
        <v>3834.1277027026968</v>
      </c>
      <c r="BF9" s="28">
        <f ca="1">(AU6/$BD$3)*365</f>
        <v>29101.35135135135</v>
      </c>
      <c r="BG9" s="150">
        <f ca="1">(G6/$BD$3)*365</f>
        <v>10851.351351351352</v>
      </c>
      <c r="BH9" s="28">
        <f ca="1">(H6/$BD$3)*365</f>
        <v>4932.4324324324325</v>
      </c>
      <c r="BI9" s="29">
        <f ca="1">(AW6/$BD$3)*365</f>
        <v>35513.513513513513</v>
      </c>
    </row>
    <row r="10" spans="1:61" ht="15.75" thickBot="1" x14ac:dyDescent="0.3">
      <c r="A10" s="41">
        <v>5000</v>
      </c>
      <c r="K10" s="5">
        <v>1000</v>
      </c>
      <c r="L10" s="145">
        <v>3000</v>
      </c>
      <c r="M10" s="69">
        <v>35</v>
      </c>
      <c r="N10" s="69">
        <v>30</v>
      </c>
      <c r="O10" s="69">
        <v>10</v>
      </c>
      <c r="P10" s="69">
        <v>22</v>
      </c>
      <c r="Q10" s="74">
        <v>40</v>
      </c>
      <c r="R10" s="70">
        <v>9</v>
      </c>
      <c r="S10" s="102">
        <v>3.16</v>
      </c>
      <c r="T10" s="71">
        <v>28.73</v>
      </c>
      <c r="U10" s="103">
        <v>16</v>
      </c>
      <c r="V10" s="2">
        <v>13.25</v>
      </c>
      <c r="W10" s="2" t="s">
        <v>42</v>
      </c>
      <c r="Z10" s="94">
        <v>21.69</v>
      </c>
      <c r="AA10" s="72" t="s">
        <v>49</v>
      </c>
      <c r="AC10" s="72">
        <v>65</v>
      </c>
      <c r="AE10" s="30">
        <v>100.69</v>
      </c>
      <c r="AF10" s="30" t="s">
        <v>47</v>
      </c>
      <c r="AG10" s="30">
        <v>50</v>
      </c>
      <c r="AH10" s="30" t="s">
        <v>60</v>
      </c>
      <c r="AI10" s="60">
        <f t="shared" ref="AI10:AQ10" si="2">AI6/$AR$6</f>
        <v>0.49410882779525117</v>
      </c>
      <c r="AJ10" s="60">
        <f t="shared" si="2"/>
        <v>9.1843256975339821E-3</v>
      </c>
      <c r="AK10" s="61">
        <f t="shared" si="2"/>
        <v>7.1245611271359713E-2</v>
      </c>
      <c r="AL10" s="62">
        <f t="shared" si="2"/>
        <v>8.7613781015342201E-2</v>
      </c>
      <c r="AM10" s="63">
        <f t="shared" si="2"/>
        <v>3.1963162745556044E-2</v>
      </c>
      <c r="AN10" s="64">
        <f t="shared" si="2"/>
        <v>0.10864310197784767</v>
      </c>
      <c r="AO10" s="65">
        <f t="shared" si="2"/>
        <v>9.3219765077399153E-2</v>
      </c>
      <c r="AP10" s="66">
        <f t="shared" si="2"/>
        <v>7.3834938535165054E-2</v>
      </c>
      <c r="AQ10" s="67">
        <f t="shared" si="2"/>
        <v>3.0186485884544971E-2</v>
      </c>
      <c r="AR10" s="1"/>
    </row>
    <row r="11" spans="1:61" ht="15.75" thickBot="1" x14ac:dyDescent="0.3">
      <c r="A11" s="41">
        <v>5000</v>
      </c>
      <c r="K11" s="5">
        <v>1000</v>
      </c>
      <c r="L11" s="145">
        <v>3000</v>
      </c>
      <c r="M11" s="69">
        <v>35</v>
      </c>
      <c r="N11" s="69">
        <v>30</v>
      </c>
      <c r="O11" s="69">
        <v>10</v>
      </c>
      <c r="P11" s="69">
        <v>22</v>
      </c>
      <c r="Q11" s="74">
        <v>40</v>
      </c>
      <c r="R11" s="70">
        <v>9</v>
      </c>
      <c r="S11" s="102">
        <v>2.65</v>
      </c>
      <c r="T11" s="71">
        <v>40.700000000000003</v>
      </c>
      <c r="U11" s="103">
        <v>21.7</v>
      </c>
      <c r="V11" s="2">
        <f>61.19+40</f>
        <v>101.19</v>
      </c>
      <c r="W11" s="2" t="s">
        <v>73</v>
      </c>
      <c r="Z11" s="94">
        <v>50</v>
      </c>
      <c r="AA11" s="72" t="s">
        <v>43</v>
      </c>
      <c r="AC11" s="72">
        <v>65</v>
      </c>
      <c r="AE11" s="30">
        <v>27.54</v>
      </c>
      <c r="AF11" s="30" t="s">
        <v>64</v>
      </c>
      <c r="AH11" s="135"/>
      <c r="AI11" s="139" t="s">
        <v>76</v>
      </c>
      <c r="AJ11" s="140"/>
      <c r="AK11" s="140"/>
      <c r="AL11" s="140"/>
      <c r="AM11" s="140"/>
      <c r="AN11" s="140"/>
      <c r="AO11" s="140"/>
      <c r="AP11" s="140"/>
      <c r="AQ11" s="141"/>
      <c r="BB11" s="34"/>
    </row>
    <row r="12" spans="1:61" ht="15.75" thickBot="1" x14ac:dyDescent="0.3">
      <c r="A12" s="41">
        <v>5000</v>
      </c>
      <c r="K12" s="5">
        <v>1000</v>
      </c>
      <c r="L12" s="145">
        <v>3000</v>
      </c>
      <c r="M12" s="69">
        <v>35</v>
      </c>
      <c r="N12" s="69">
        <v>30</v>
      </c>
      <c r="O12" s="69">
        <v>10</v>
      </c>
      <c r="P12" s="69">
        <v>22</v>
      </c>
      <c r="Q12" s="74">
        <v>40</v>
      </c>
      <c r="R12" s="70">
        <v>15</v>
      </c>
      <c r="S12" s="102">
        <v>5.29</v>
      </c>
      <c r="T12" s="71">
        <v>11.11</v>
      </c>
      <c r="U12" s="103">
        <v>10.35</v>
      </c>
      <c r="V12" s="2">
        <f>213.57+68.73+15.09+25.93+22.95</f>
        <v>346.27</v>
      </c>
      <c r="W12" s="2" t="s">
        <v>74</v>
      </c>
      <c r="Z12" s="94">
        <v>35</v>
      </c>
      <c r="AA12" s="72" t="s">
        <v>69</v>
      </c>
      <c r="AC12" s="72">
        <v>65</v>
      </c>
      <c r="AE12" s="30">
        <v>13.77</v>
      </c>
      <c r="AF12" s="30" t="s">
        <v>16</v>
      </c>
      <c r="AI12" s="60">
        <f ca="1">AI8/$AZ6</f>
        <v>0.12074336283185839</v>
      </c>
      <c r="AJ12" s="60">
        <f ca="1">AJ8/$AZ6</f>
        <v>2.2443362831858406E-3</v>
      </c>
      <c r="AK12" s="61">
        <f ca="1">AK8/$AZ6</f>
        <v>1.7410000000000009E-2</v>
      </c>
      <c r="AL12" s="62">
        <f ca="1">AL8/$AZ6</f>
        <v>2.1409823008849558E-2</v>
      </c>
      <c r="AM12" s="63">
        <f ca="1">AM8/$AZ6</f>
        <v>7.8107079646017701E-3</v>
      </c>
      <c r="AN12" s="64">
        <f ca="1">AN8/$AZ6</f>
        <v>2.6548672566371681E-2</v>
      </c>
      <c r="AO12" s="65">
        <f ca="1">AO8/$AZ6</f>
        <v>2.2779734513274336E-2</v>
      </c>
      <c r="AP12" s="66">
        <f ca="1">AP8/$AZ6</f>
        <v>1.8042743362831858E-2</v>
      </c>
      <c r="AQ12" s="67">
        <f ca="1">AQ8/$AZ6</f>
        <v>7.3765486725663708E-3</v>
      </c>
      <c r="AY12" s="37"/>
      <c r="AZ12" s="37"/>
      <c r="BB12" s="4"/>
    </row>
    <row r="13" spans="1:61" x14ac:dyDescent="0.25">
      <c r="A13" s="41">
        <v>5000</v>
      </c>
      <c r="K13" s="5">
        <v>1000</v>
      </c>
      <c r="L13" s="145">
        <v>3000</v>
      </c>
      <c r="M13" s="69">
        <v>35</v>
      </c>
      <c r="N13" s="69">
        <v>30</v>
      </c>
      <c r="O13" s="69">
        <v>10</v>
      </c>
      <c r="P13" s="69">
        <v>22</v>
      </c>
      <c r="Q13" s="74">
        <v>40</v>
      </c>
      <c r="R13" s="70">
        <v>68.239999999999995</v>
      </c>
      <c r="S13" s="102">
        <v>1.21</v>
      </c>
      <c r="T13" s="71">
        <v>28.98</v>
      </c>
      <c r="U13" s="103">
        <v>37.950000000000003</v>
      </c>
      <c r="AC13" s="72">
        <v>65</v>
      </c>
      <c r="AE13" s="30">
        <v>222.59</v>
      </c>
      <c r="AF13" s="30" t="s">
        <v>10</v>
      </c>
      <c r="AT13" s="4"/>
      <c r="AU13" s="4"/>
      <c r="AV13" s="39"/>
      <c r="AW13" s="39"/>
      <c r="AX13" s="189"/>
      <c r="AY13" s="37"/>
      <c r="AZ13" s="37"/>
      <c r="BA13" s="4"/>
      <c r="BD13" s="4"/>
    </row>
    <row r="14" spans="1:61" x14ac:dyDescent="0.25">
      <c r="A14" s="41">
        <v>5000</v>
      </c>
      <c r="I14" s="36"/>
      <c r="K14" s="5">
        <v>1000</v>
      </c>
      <c r="L14" s="145">
        <v>3000</v>
      </c>
      <c r="M14" s="69">
        <v>35</v>
      </c>
      <c r="N14" s="69">
        <v>30</v>
      </c>
      <c r="O14" s="69">
        <v>10</v>
      </c>
      <c r="P14" s="69">
        <v>22</v>
      </c>
      <c r="Q14" s="74">
        <v>40</v>
      </c>
      <c r="R14" s="70">
        <v>53.24</v>
      </c>
      <c r="S14" s="102">
        <v>147.19</v>
      </c>
      <c r="T14" s="71">
        <v>17.850000000000001</v>
      </c>
      <c r="U14" s="103">
        <v>9.24</v>
      </c>
      <c r="AC14" s="72">
        <v>65</v>
      </c>
      <c r="AE14" s="30">
        <v>113.31</v>
      </c>
      <c r="AF14" s="30" t="s">
        <v>63</v>
      </c>
      <c r="AI14" s="4"/>
      <c r="AJ14" s="4"/>
      <c r="AT14" s="4"/>
      <c r="AV14" s="39"/>
      <c r="AW14" s="39"/>
      <c r="AX14" s="189"/>
      <c r="AY14" s="37"/>
      <c r="AZ14" s="37"/>
      <c r="BA14" s="4"/>
    </row>
    <row r="15" spans="1:61" x14ac:dyDescent="0.25">
      <c r="A15" s="41">
        <v>5000</v>
      </c>
      <c r="K15" s="5">
        <v>1000</v>
      </c>
      <c r="L15" s="145">
        <v>3000</v>
      </c>
      <c r="M15" s="69">
        <v>35</v>
      </c>
      <c r="N15" s="69">
        <v>30</v>
      </c>
      <c r="O15" s="69">
        <v>10</v>
      </c>
      <c r="P15" s="69">
        <v>22</v>
      </c>
      <c r="Q15" s="74">
        <v>40</v>
      </c>
      <c r="R15" s="70">
        <v>25.5</v>
      </c>
      <c r="S15" s="102">
        <v>16.79</v>
      </c>
      <c r="T15" s="71">
        <v>17.45</v>
      </c>
      <c r="U15" s="103">
        <v>8</v>
      </c>
      <c r="AC15" s="72">
        <v>65</v>
      </c>
      <c r="AE15" s="30">
        <v>24.52</v>
      </c>
      <c r="AF15" s="30" t="s">
        <v>15</v>
      </c>
      <c r="AP15" s="4"/>
      <c r="AY15" s="36"/>
      <c r="AZ15" s="36"/>
      <c r="BA15" s="4"/>
      <c r="BB15" s="4"/>
    </row>
    <row r="16" spans="1:61" x14ac:dyDescent="0.25">
      <c r="A16" s="41">
        <v>5000</v>
      </c>
      <c r="K16" s="5">
        <v>1000</v>
      </c>
      <c r="L16" s="145">
        <v>3000</v>
      </c>
      <c r="M16" s="69">
        <v>35</v>
      </c>
      <c r="N16" s="69">
        <v>30</v>
      </c>
      <c r="O16" s="69">
        <v>10</v>
      </c>
      <c r="P16" s="69">
        <v>22</v>
      </c>
      <c r="Q16" s="74">
        <v>40</v>
      </c>
      <c r="R16" s="70">
        <v>22.5</v>
      </c>
      <c r="S16" s="102">
        <v>22.66</v>
      </c>
      <c r="T16" s="71">
        <v>11.5</v>
      </c>
      <c r="U16" s="103">
        <v>16.5</v>
      </c>
      <c r="AC16" s="72">
        <v>65</v>
      </c>
      <c r="AE16" s="30">
        <v>24.95</v>
      </c>
      <c r="AF16" s="30" t="s">
        <v>14</v>
      </c>
      <c r="AI16" s="4"/>
      <c r="AK16" s="4"/>
      <c r="AU16" s="4"/>
    </row>
    <row r="17" spans="1:74" x14ac:dyDescent="0.25">
      <c r="A17" s="41">
        <v>5000</v>
      </c>
      <c r="K17" s="5">
        <v>1000</v>
      </c>
      <c r="L17" s="145">
        <v>3000</v>
      </c>
      <c r="M17" s="69">
        <v>35</v>
      </c>
      <c r="N17" s="69">
        <v>30</v>
      </c>
      <c r="O17" s="69">
        <v>10</v>
      </c>
      <c r="P17" s="69">
        <v>22</v>
      </c>
      <c r="Q17" s="74">
        <v>40</v>
      </c>
      <c r="R17" s="70">
        <v>11</v>
      </c>
      <c r="S17" s="102">
        <v>1.58</v>
      </c>
      <c r="T17" s="71">
        <v>13.06</v>
      </c>
      <c r="U17" s="103">
        <v>11</v>
      </c>
      <c r="AC17" s="72">
        <v>65</v>
      </c>
      <c r="AI17" s="4"/>
      <c r="AJ17" s="4"/>
      <c r="AK17" s="4"/>
      <c r="AL17" s="4"/>
      <c r="AM17" s="4"/>
      <c r="AN17" s="4"/>
      <c r="AO17" s="4"/>
      <c r="AP17" s="4"/>
      <c r="AQ17" s="4"/>
    </row>
    <row r="18" spans="1:74" x14ac:dyDescent="0.25">
      <c r="A18" s="41">
        <v>5000</v>
      </c>
      <c r="S18" s="102">
        <v>114.51</v>
      </c>
      <c r="T18" s="71">
        <v>11.5</v>
      </c>
      <c r="U18" s="103">
        <v>9.0299999999999994</v>
      </c>
      <c r="AA18" s="96"/>
      <c r="AI18" s="4"/>
      <c r="AJ18" s="4"/>
      <c r="AK18" s="4"/>
      <c r="AL18" s="4"/>
      <c r="AM18" s="4"/>
      <c r="AN18" s="4"/>
      <c r="AO18" s="4"/>
      <c r="AP18" s="4"/>
      <c r="AQ18" s="4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</row>
    <row r="19" spans="1:74" x14ac:dyDescent="0.25">
      <c r="S19" s="102">
        <v>2.12</v>
      </c>
      <c r="T19" s="71">
        <v>14.85</v>
      </c>
      <c r="U19" s="103">
        <v>43.71</v>
      </c>
      <c r="AA19" s="96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</row>
    <row r="20" spans="1:74" x14ac:dyDescent="0.25">
      <c r="S20" s="102">
        <v>21.51</v>
      </c>
      <c r="T20" s="71">
        <v>18.79</v>
      </c>
      <c r="U20" s="103">
        <v>21.35</v>
      </c>
      <c r="AN20" s="4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</row>
    <row r="21" spans="1:74" x14ac:dyDescent="0.25">
      <c r="S21" s="102">
        <v>138.27000000000001</v>
      </c>
      <c r="T21" s="71">
        <v>10.25</v>
      </c>
      <c r="U21" s="103">
        <v>8.5</v>
      </c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</row>
    <row r="22" spans="1:74" x14ac:dyDescent="0.25">
      <c r="S22" s="102">
        <f>17.8-7.37</f>
        <v>10.43</v>
      </c>
      <c r="T22" s="71">
        <v>27.71</v>
      </c>
      <c r="U22" s="103">
        <v>16.63</v>
      </c>
      <c r="AL22" s="4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</row>
    <row r="23" spans="1:74" x14ac:dyDescent="0.25">
      <c r="S23" s="102">
        <v>2.4500000000000002</v>
      </c>
      <c r="T23" s="71">
        <v>12.95</v>
      </c>
      <c r="U23" s="103">
        <v>43.44</v>
      </c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</row>
    <row r="24" spans="1:74" x14ac:dyDescent="0.25">
      <c r="S24" s="102">
        <v>7.93</v>
      </c>
      <c r="T24" s="71">
        <v>7.7</v>
      </c>
      <c r="U24" s="103">
        <v>31.22</v>
      </c>
      <c r="X24" s="23"/>
      <c r="Y24" s="23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</row>
    <row r="25" spans="1:74" x14ac:dyDescent="0.25">
      <c r="S25" s="102">
        <v>3.16</v>
      </c>
      <c r="T25" s="71">
        <v>15.78</v>
      </c>
      <c r="U25" s="103">
        <v>10.75</v>
      </c>
      <c r="X25" s="23"/>
      <c r="Y25" s="23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</row>
    <row r="26" spans="1:74" x14ac:dyDescent="0.25">
      <c r="S26" s="102">
        <v>2.65</v>
      </c>
      <c r="T26" s="71">
        <v>15</v>
      </c>
      <c r="U26" s="103">
        <f>9.1/2</f>
        <v>4.55</v>
      </c>
      <c r="X26" s="23"/>
      <c r="Y26" s="23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</row>
    <row r="27" spans="1:74" x14ac:dyDescent="0.25">
      <c r="S27" s="102">
        <v>5.29</v>
      </c>
      <c r="T27" s="71">
        <v>51.41</v>
      </c>
      <c r="U27" s="103">
        <v>13</v>
      </c>
      <c r="X27" s="23"/>
      <c r="Y27" s="23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</row>
    <row r="28" spans="1:74" x14ac:dyDescent="0.25">
      <c r="S28" s="102">
        <v>1.21</v>
      </c>
      <c r="T28" s="71">
        <v>21.78</v>
      </c>
      <c r="U28" s="103">
        <v>14.28</v>
      </c>
      <c r="X28" s="23"/>
      <c r="Y28" s="23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</row>
    <row r="29" spans="1:74" x14ac:dyDescent="0.25">
      <c r="S29" s="102">
        <v>147.19</v>
      </c>
      <c r="T29" s="71">
        <v>51.54</v>
      </c>
      <c r="U29" s="103">
        <v>7.4</v>
      </c>
      <c r="X29" s="23"/>
      <c r="Y29" s="23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</row>
    <row r="30" spans="1:74" x14ac:dyDescent="0.25">
      <c r="S30" s="102">
        <v>17.5</v>
      </c>
      <c r="T30" s="71">
        <v>21.25</v>
      </c>
      <c r="U30" s="103">
        <f>42-11-11</f>
        <v>20</v>
      </c>
      <c r="X30" s="40"/>
      <c r="Y30" s="23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</row>
    <row r="31" spans="1:74" x14ac:dyDescent="0.25">
      <c r="S31" s="102">
        <v>3.68</v>
      </c>
      <c r="T31" s="71">
        <v>11.5</v>
      </c>
      <c r="U31" s="103">
        <v>10</v>
      </c>
      <c r="X31" s="23"/>
      <c r="Y31" s="23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</row>
    <row r="32" spans="1:74" x14ac:dyDescent="0.25">
      <c r="S32" s="102">
        <v>95.18</v>
      </c>
      <c r="T32" s="71">
        <v>10.46</v>
      </c>
      <c r="U32" s="103">
        <v>24</v>
      </c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</row>
    <row r="33" spans="19:72" x14ac:dyDescent="0.25">
      <c r="S33" s="102">
        <v>138.27000000000001</v>
      </c>
      <c r="T33" s="71">
        <v>5.5</v>
      </c>
      <c r="U33" s="103">
        <v>12</v>
      </c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</row>
    <row r="34" spans="19:72" x14ac:dyDescent="0.25">
      <c r="S34" s="102">
        <f>17.8-7.37</f>
        <v>10.43</v>
      </c>
      <c r="T34" s="71">
        <v>41</v>
      </c>
      <c r="U34" s="103">
        <v>9.7899999999999991</v>
      </c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</row>
    <row r="35" spans="19:72" x14ac:dyDescent="0.25">
      <c r="S35" s="102">
        <v>2.4500000000000002</v>
      </c>
      <c r="T35" s="71">
        <f>50.98-16-17</f>
        <v>17.979999999999997</v>
      </c>
      <c r="U35" s="103">
        <v>51.46</v>
      </c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</row>
    <row r="36" spans="19:72" x14ac:dyDescent="0.25">
      <c r="S36" s="102">
        <v>7.93</v>
      </c>
      <c r="T36" s="71">
        <v>21.71</v>
      </c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</row>
    <row r="37" spans="19:72" x14ac:dyDescent="0.25">
      <c r="S37" s="102">
        <v>3.16</v>
      </c>
      <c r="T37" s="71">
        <v>38.909999999999997</v>
      </c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</row>
    <row r="38" spans="19:72" x14ac:dyDescent="0.25">
      <c r="S38" s="102">
        <v>2.65</v>
      </c>
      <c r="T38" s="71">
        <v>18.239999999999998</v>
      </c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</row>
    <row r="39" spans="19:72" x14ac:dyDescent="0.25">
      <c r="S39" s="102">
        <v>5.29</v>
      </c>
      <c r="T39" s="71">
        <v>8.77</v>
      </c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</row>
    <row r="40" spans="19:72" x14ac:dyDescent="0.25">
      <c r="S40" s="102">
        <v>1.21</v>
      </c>
      <c r="T40" s="71">
        <v>28.73</v>
      </c>
      <c r="AF40" s="73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</row>
    <row r="41" spans="19:72" x14ac:dyDescent="0.25">
      <c r="S41" s="102">
        <v>147.19</v>
      </c>
      <c r="T41" s="71">
        <v>40.700000000000003</v>
      </c>
      <c r="AL41" s="4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</row>
    <row r="42" spans="19:72" x14ac:dyDescent="0.25">
      <c r="S42" s="102">
        <v>138.27000000000001</v>
      </c>
      <c r="T42" s="71">
        <v>11.11</v>
      </c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</row>
    <row r="43" spans="19:72" x14ac:dyDescent="0.25">
      <c r="S43" s="102">
        <f>17.8-7.37</f>
        <v>10.43</v>
      </c>
      <c r="T43" s="71">
        <v>28.98</v>
      </c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</row>
    <row r="44" spans="19:72" x14ac:dyDescent="0.25">
      <c r="S44" s="102">
        <v>2.4500000000000002</v>
      </c>
      <c r="T44" s="71">
        <v>17.850000000000001</v>
      </c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</row>
    <row r="45" spans="19:72" x14ac:dyDescent="0.25">
      <c r="S45" s="102">
        <v>7.93</v>
      </c>
      <c r="T45" s="71">
        <v>17.45</v>
      </c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</row>
    <row r="46" spans="19:72" x14ac:dyDescent="0.25">
      <c r="S46" s="102">
        <v>3.16</v>
      </c>
      <c r="T46" s="71">
        <v>11.5</v>
      </c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</row>
    <row r="47" spans="19:72" x14ac:dyDescent="0.25">
      <c r="S47" s="102">
        <v>2.65</v>
      </c>
      <c r="T47" s="71">
        <v>13.06</v>
      </c>
      <c r="AF47" s="73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</row>
    <row r="48" spans="19:72" x14ac:dyDescent="0.25">
      <c r="S48" s="102">
        <v>5.29</v>
      </c>
      <c r="T48" s="71">
        <v>11.5</v>
      </c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</row>
    <row r="49" spans="19:72" x14ac:dyDescent="0.25">
      <c r="S49" s="102">
        <v>1.21</v>
      </c>
      <c r="T49" s="71">
        <v>14.85</v>
      </c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</row>
    <row r="50" spans="19:72" x14ac:dyDescent="0.25">
      <c r="S50" s="102">
        <v>147.19</v>
      </c>
      <c r="T50" s="71">
        <v>18.79</v>
      </c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</row>
    <row r="51" spans="19:72" x14ac:dyDescent="0.25">
      <c r="S51" s="102">
        <v>16.79</v>
      </c>
      <c r="T51" s="71">
        <v>10.25</v>
      </c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</row>
    <row r="52" spans="19:72" x14ac:dyDescent="0.25">
      <c r="S52" s="102">
        <v>22.66</v>
      </c>
      <c r="T52" s="71">
        <v>27.71</v>
      </c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</row>
    <row r="53" spans="19:72" x14ac:dyDescent="0.25">
      <c r="S53" s="102">
        <v>138.27000000000001</v>
      </c>
      <c r="T53" s="71">
        <v>12.95</v>
      </c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</row>
    <row r="54" spans="19:72" x14ac:dyDescent="0.25">
      <c r="S54" s="102">
        <f>17.8-7.37</f>
        <v>10.43</v>
      </c>
      <c r="T54" s="71">
        <v>7.7</v>
      </c>
      <c r="AF54" s="73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</row>
    <row r="55" spans="19:72" x14ac:dyDescent="0.25">
      <c r="S55" s="102">
        <v>2.4500000000000002</v>
      </c>
      <c r="T55" s="71">
        <v>15.78</v>
      </c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</row>
    <row r="56" spans="19:72" x14ac:dyDescent="0.25">
      <c r="S56" s="102">
        <v>7.93</v>
      </c>
      <c r="T56" s="71">
        <v>15</v>
      </c>
      <c r="AH56" s="33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</row>
    <row r="57" spans="19:72" x14ac:dyDescent="0.25">
      <c r="S57" s="102">
        <v>3.16</v>
      </c>
      <c r="T57" s="71">
        <v>51.41</v>
      </c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</row>
    <row r="58" spans="19:72" x14ac:dyDescent="0.25">
      <c r="S58" s="102">
        <v>2.65</v>
      </c>
      <c r="T58" s="71">
        <v>21.78</v>
      </c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</row>
    <row r="59" spans="19:72" x14ac:dyDescent="0.25">
      <c r="S59" s="102">
        <v>5.29</v>
      </c>
      <c r="T59" s="71">
        <v>51.54</v>
      </c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</row>
    <row r="60" spans="19:72" x14ac:dyDescent="0.25">
      <c r="S60" s="102">
        <v>1.21</v>
      </c>
      <c r="T60" s="71">
        <v>21.25</v>
      </c>
    </row>
    <row r="61" spans="19:72" x14ac:dyDescent="0.25">
      <c r="S61" s="102">
        <v>147.19</v>
      </c>
      <c r="T61" s="71">
        <v>11.5</v>
      </c>
    </row>
    <row r="62" spans="19:72" x14ac:dyDescent="0.25">
      <c r="S62" s="102">
        <v>16.79</v>
      </c>
      <c r="T62" s="71">
        <v>10.46</v>
      </c>
    </row>
    <row r="63" spans="19:72" x14ac:dyDescent="0.25">
      <c r="S63" s="102">
        <v>22.66</v>
      </c>
      <c r="T63" s="71">
        <v>5.5</v>
      </c>
    </row>
    <row r="64" spans="19:72" x14ac:dyDescent="0.25">
      <c r="T64" s="71">
        <v>41</v>
      </c>
      <c r="AF64" s="73"/>
    </row>
    <row r="65" spans="20:32" x14ac:dyDescent="0.25">
      <c r="T65" s="71">
        <f>50.98-16-17</f>
        <v>17.979999999999997</v>
      </c>
      <c r="AF65" s="73"/>
    </row>
    <row r="66" spans="20:32" x14ac:dyDescent="0.25">
      <c r="T66" s="71">
        <v>21.71</v>
      </c>
    </row>
    <row r="67" spans="20:32" x14ac:dyDescent="0.25">
      <c r="T67" s="71">
        <v>38.909999999999997</v>
      </c>
    </row>
    <row r="68" spans="20:32" x14ac:dyDescent="0.25">
      <c r="T68" s="71">
        <v>18.239999999999998</v>
      </c>
    </row>
    <row r="69" spans="20:32" x14ac:dyDescent="0.25">
      <c r="T69" s="71">
        <v>8.77</v>
      </c>
    </row>
    <row r="70" spans="20:32" x14ac:dyDescent="0.25">
      <c r="T70" s="71">
        <v>28.73</v>
      </c>
    </row>
    <row r="71" spans="20:32" x14ac:dyDescent="0.25">
      <c r="T71" s="71">
        <v>40.700000000000003</v>
      </c>
    </row>
    <row r="72" spans="20:32" x14ac:dyDescent="0.25">
      <c r="T72" s="71">
        <v>11.11</v>
      </c>
    </row>
    <row r="73" spans="20:32" x14ac:dyDescent="0.25">
      <c r="T73" s="71">
        <v>28.98</v>
      </c>
    </row>
    <row r="74" spans="20:32" x14ac:dyDescent="0.25">
      <c r="T74" s="71">
        <v>17.850000000000001</v>
      </c>
    </row>
    <row r="75" spans="20:32" x14ac:dyDescent="0.25">
      <c r="T75" s="71">
        <v>17.45</v>
      </c>
    </row>
    <row r="76" spans="20:32" x14ac:dyDescent="0.25">
      <c r="T76" s="71">
        <v>11.5</v>
      </c>
    </row>
    <row r="77" spans="20:32" x14ac:dyDescent="0.25">
      <c r="T77" s="71">
        <v>13.06</v>
      </c>
    </row>
    <row r="78" spans="20:32" x14ac:dyDescent="0.25">
      <c r="T78" s="71">
        <v>11.5</v>
      </c>
      <c r="AF78" s="73"/>
    </row>
    <row r="79" spans="20:32" x14ac:dyDescent="0.25">
      <c r="T79" s="71">
        <v>14.85</v>
      </c>
    </row>
    <row r="80" spans="20:32" x14ac:dyDescent="0.25">
      <c r="T80" s="71">
        <v>18.79</v>
      </c>
    </row>
    <row r="81" spans="20:32" x14ac:dyDescent="0.25">
      <c r="T81" s="71">
        <v>10.25</v>
      </c>
    </row>
    <row r="82" spans="20:32" x14ac:dyDescent="0.25">
      <c r="T82" s="71">
        <v>27.71</v>
      </c>
      <c r="AF82" s="73"/>
    </row>
    <row r="83" spans="20:32" x14ac:dyDescent="0.25">
      <c r="T83" s="71">
        <v>12.95</v>
      </c>
      <c r="AF83" s="73"/>
    </row>
    <row r="84" spans="20:32" x14ac:dyDescent="0.25">
      <c r="T84" s="71">
        <v>7.7</v>
      </c>
    </row>
    <row r="85" spans="20:32" x14ac:dyDescent="0.25">
      <c r="T85" s="71">
        <v>15.78</v>
      </c>
    </row>
    <row r="86" spans="20:32" x14ac:dyDescent="0.25">
      <c r="T86" s="71">
        <v>15</v>
      </c>
    </row>
    <row r="87" spans="20:32" x14ac:dyDescent="0.25">
      <c r="T87" s="71">
        <v>51.41</v>
      </c>
    </row>
    <row r="88" spans="20:32" x14ac:dyDescent="0.25">
      <c r="T88" s="71">
        <v>21.78</v>
      </c>
    </row>
    <row r="89" spans="20:32" x14ac:dyDescent="0.25">
      <c r="T89" s="71">
        <v>51.54</v>
      </c>
    </row>
    <row r="90" spans="20:32" x14ac:dyDescent="0.25">
      <c r="T90" s="71">
        <v>21.25</v>
      </c>
    </row>
    <row r="91" spans="20:32" x14ac:dyDescent="0.25">
      <c r="T91" s="71">
        <v>11.5</v>
      </c>
    </row>
    <row r="92" spans="20:32" x14ac:dyDescent="0.25">
      <c r="T92" s="71">
        <v>10.46</v>
      </c>
    </row>
    <row r="93" spans="20:32" x14ac:dyDescent="0.25">
      <c r="T93" s="71">
        <v>5.5</v>
      </c>
    </row>
    <row r="94" spans="20:32" x14ac:dyDescent="0.25">
      <c r="T94" s="71">
        <v>41</v>
      </c>
    </row>
    <row r="95" spans="20:32" x14ac:dyDescent="0.25">
      <c r="T95" s="71">
        <f>50.98-16-17</f>
        <v>17.979999999999997</v>
      </c>
      <c r="AF95" s="73"/>
    </row>
    <row r="110" spans="32:32" x14ac:dyDescent="0.25">
      <c r="AF110" s="73"/>
    </row>
    <row r="148" spans="19:32" x14ac:dyDescent="0.25">
      <c r="AF148" s="73"/>
    </row>
    <row r="154" spans="19:32" x14ac:dyDescent="0.25">
      <c r="S154" s="104"/>
    </row>
    <row r="155" spans="19:32" x14ac:dyDescent="0.25">
      <c r="S155" s="104"/>
    </row>
    <row r="156" spans="19:32" x14ac:dyDescent="0.25">
      <c r="S156" s="104"/>
    </row>
    <row r="157" spans="19:32" x14ac:dyDescent="0.25">
      <c r="S157" s="104"/>
    </row>
  </sheetData>
  <mergeCells count="29">
    <mergeCell ref="C1:AW2"/>
    <mergeCell ref="AI9:AQ9"/>
    <mergeCell ref="AI11:AQ11"/>
    <mergeCell ref="BI4:BI5"/>
    <mergeCell ref="BF3:BI3"/>
    <mergeCell ref="AW3:AW5"/>
    <mergeCell ref="AI7:AQ7"/>
    <mergeCell ref="AZ4:AZ5"/>
    <mergeCell ref="AE4:AH4"/>
    <mergeCell ref="AI3:AR4"/>
    <mergeCell ref="BD4:BD5"/>
    <mergeCell ref="AT3:AT5"/>
    <mergeCell ref="BC4:BC5"/>
    <mergeCell ref="BA4:BA5"/>
    <mergeCell ref="BB4:BB5"/>
    <mergeCell ref="AU3:AU5"/>
    <mergeCell ref="AS3:AS5"/>
    <mergeCell ref="K3:AH3"/>
    <mergeCell ref="K4:Q4"/>
    <mergeCell ref="BG4:BG5"/>
    <mergeCell ref="BH4:BH5"/>
    <mergeCell ref="A3:D4"/>
    <mergeCell ref="E3:J4"/>
    <mergeCell ref="S4:U4"/>
    <mergeCell ref="Z4:AD4"/>
    <mergeCell ref="V4:Y4"/>
    <mergeCell ref="BE4:BE5"/>
    <mergeCell ref="BF4:BF5"/>
    <mergeCell ref="AV3:AV5"/>
  </mergeCells>
  <conditionalFormatting sqref="AI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6:AQ6">
    <cfRule type="colorScale" priority="5">
      <colorScale>
        <cfvo type="min"/>
        <cfvo type="max"/>
        <color theme="5" tint="0.79998168889431442"/>
        <color rgb="FFFF0000"/>
      </colorScale>
    </cfRule>
  </conditionalFormatting>
  <conditionalFormatting sqref="AI8:AQ8">
    <cfRule type="colorScale" priority="4">
      <colorScale>
        <cfvo type="min"/>
        <cfvo type="max"/>
        <color theme="5" tint="0.79998168889431442"/>
        <color rgb="FFFF0000"/>
      </colorScale>
    </cfRule>
  </conditionalFormatting>
  <conditionalFormatting sqref="AI10:AQ10">
    <cfRule type="colorScale" priority="3">
      <colorScale>
        <cfvo type="min"/>
        <cfvo type="max"/>
        <color theme="5" tint="0.79998168889431442"/>
        <color rgb="FFFF0000"/>
      </colorScale>
    </cfRule>
  </conditionalFormatting>
  <conditionalFormatting sqref="AI12:AQ12">
    <cfRule type="colorScale" priority="2">
      <colorScale>
        <cfvo type="min"/>
        <cfvo type="max"/>
        <color theme="5" tint="0.79998168889431442"/>
        <color rgb="FFFF0000"/>
      </colorScale>
    </cfRule>
  </conditionalFormatting>
  <conditionalFormatting sqref="AS6:AX6">
    <cfRule type="colorScale" priority="8">
      <colorScale>
        <cfvo type="min"/>
        <cfvo type="max"/>
        <color theme="9" tint="0.79998168889431442"/>
        <color rgb="FF00B050"/>
      </colorScale>
    </cfRule>
    <cfRule type="colorScale" priority="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2nduser</dc:creator>
  <cp:lastModifiedBy>Patrick Fitzgibbon</cp:lastModifiedBy>
  <dcterms:created xsi:type="dcterms:W3CDTF">2019-07-09T02:08:30Z</dcterms:created>
  <dcterms:modified xsi:type="dcterms:W3CDTF">2025-10-02T17:41:05Z</dcterms:modified>
</cp:coreProperties>
</file>