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itzg\Documents\Budgets\"/>
    </mc:Choice>
  </mc:AlternateContent>
  <xr:revisionPtr revIDLastSave="0" documentId="13_ncr:1_{46547AAD-58C2-40D6-9CD7-D5C41745E9BE}" xr6:coauthVersionLast="47" xr6:coauthVersionMax="47" xr10:uidLastSave="{00000000-0000-0000-0000-000000000000}"/>
  <bookViews>
    <workbookView xWindow="-120" yWindow="-120" windowWidth="29040" windowHeight="15720" xr2:uid="{91EDE56E-78DD-430A-B0CC-BE23046D4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G7" i="1"/>
  <c r="G8" i="1"/>
  <c r="G9" i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H8" i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I9" i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J10" i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K11" i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L12" i="1"/>
  <c r="L13" i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C28" i="1" l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5" i="1"/>
  <c r="C6" i="1"/>
  <c r="C7" i="1"/>
  <c r="C8" i="1"/>
  <c r="C9" i="1"/>
  <c r="C10" i="1"/>
  <c r="C11" i="1"/>
  <c r="C12" i="1"/>
  <c r="C4" i="1"/>
  <c r="E3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F3" i="1" l="1"/>
  <c r="G3" i="1" l="1"/>
  <c r="H3" i="1" l="1"/>
  <c r="I3" i="1" l="1"/>
  <c r="J3" i="1" l="1"/>
  <c r="K3" i="1" l="1"/>
  <c r="L3" i="1" l="1"/>
</calcChain>
</file>

<file path=xl/sharedStrings.xml><?xml version="1.0" encoding="utf-8"?>
<sst xmlns="http://schemas.openxmlformats.org/spreadsheetml/2006/main" count="5" uniqueCount="5">
  <si>
    <t>Max SS Amount per Year</t>
  </si>
  <si>
    <t>Interest %</t>
  </si>
  <si>
    <t>Rate of SS Given if Started at this Age</t>
  </si>
  <si>
    <t>Age</t>
  </si>
  <si>
    <t>Cost of Living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</si>
</sst>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7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9" fontId="0" fillId="0" borderId="0" xfId="2" applyFont="1"/>
    <xf numFmtId="0" fontId="2" fillId="0" borderId="2" xfId="0" applyFont="1" applyBorder="1"/>
    <xf numFmtId="0" fontId="2" fillId="0" borderId="3" xfId="0" applyFont="1" applyBorder="1"/>
    <xf numFmtId="9" fontId="0" fillId="0" borderId="4" xfId="2" applyFont="1" applyBorder="1"/>
    <xf numFmtId="0" fontId="2" fillId="0" borderId="6" xfId="0" applyFont="1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7" xfId="0" applyFont="1" applyBorder="1" applyAlignment="1">
      <alignment wrapText="1"/>
    </xf>
    <xf numFmtId="0" fontId="2" fillId="0" borderId="1" xfId="0" applyFont="1" applyBorder="1" applyAlignment="1">
      <alignment wrapText="1"/>
    </xf>
    <xf numFmtId="44" fontId="0" fillId="0" borderId="2" xfId="1" applyFont="1" applyBorder="1"/>
    <xf numFmtId="44" fontId="0" fillId="0" borderId="12" xfId="1" applyFont="1" applyBorder="1"/>
    <xf numFmtId="44" fontId="0" fillId="0" borderId="3" xfId="1" applyFont="1" applyBorder="1"/>
    <xf numFmtId="44" fontId="0" fillId="0" borderId="11" xfId="1" applyFont="1" applyBorder="1"/>
    <xf numFmtId="44" fontId="0" fillId="0" borderId="0" xfId="1" applyFont="1" applyBorder="1"/>
    <xf numFmtId="44" fontId="0" fillId="0" borderId="14" xfId="1" applyFont="1" applyBorder="1"/>
    <xf numFmtId="44" fontId="0" fillId="0" borderId="4" xfId="1" applyFont="1" applyBorder="1"/>
    <xf numFmtId="44" fontId="0" fillId="0" borderId="13" xfId="1" applyFont="1" applyBorder="1"/>
    <xf numFmtId="44" fontId="0" fillId="0" borderId="5" xfId="1" applyFont="1" applyBorder="1"/>
    <xf numFmtId="44" fontId="0" fillId="0" borderId="0" xfId="0" applyNumberFormat="1"/>
    <xf numFmtId="167" fontId="0" fillId="0" borderId="2" xfId="1" applyNumberFormat="1" applyFont="1" applyBorder="1"/>
    <xf numFmtId="167" fontId="0" fillId="0" borderId="11" xfId="1" applyNumberFormat="1" applyFont="1" applyBorder="1"/>
    <xf numFmtId="167" fontId="0" fillId="0" borderId="4" xfId="1" applyNumberFormat="1" applyFont="1" applyBorder="1"/>
    <xf numFmtId="0" fontId="2" fillId="0" borderId="12" xfId="0" applyFont="1" applyBorder="1"/>
    <xf numFmtId="0" fontId="2" fillId="0" borderId="0" xfId="0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1D8A-A9A0-4B1A-B95A-E1656AD6BABA}">
  <dimension ref="A1:U42"/>
  <sheetViews>
    <sheetView tabSelected="1" zoomScale="75" workbookViewId="0">
      <selection activeCell="N13" sqref="N13"/>
    </sheetView>
  </sheetViews>
  <sheetFormatPr defaultRowHeight="15" x14ac:dyDescent="0.25"/>
  <cols>
    <col min="2" max="2" width="19" customWidth="1"/>
    <col min="3" max="3" width="16" customWidth="1"/>
    <col min="4" max="4" width="22.28515625" bestFit="1" customWidth="1"/>
    <col min="5" max="12" width="16.85546875" bestFit="1" customWidth="1"/>
    <col min="13" max="13" width="10.42578125" bestFit="1" customWidth="1"/>
    <col min="14" max="19" width="18.5703125" customWidth="1"/>
  </cols>
  <sheetData>
    <row r="1" spans="1:21" x14ac:dyDescent="0.25">
      <c r="M1" s="2" t="s">
        <v>1</v>
      </c>
      <c r="N1" s="3" t="s">
        <v>4</v>
      </c>
      <c r="O1" s="28"/>
      <c r="P1" s="28"/>
      <c r="Q1" s="28"/>
      <c r="R1" s="28"/>
      <c r="S1" s="28"/>
    </row>
    <row r="2" spans="1:21" ht="15.75" thickBot="1" x14ac:dyDescent="0.3">
      <c r="M2" s="4">
        <v>0.05</v>
      </c>
      <c r="N2" s="22">
        <v>15000</v>
      </c>
      <c r="O2" s="18"/>
      <c r="P2" s="18"/>
      <c r="Q2" s="18"/>
      <c r="R2" s="18"/>
      <c r="S2" s="18"/>
    </row>
    <row r="3" spans="1:21" ht="30.75" thickBot="1" x14ac:dyDescent="0.3">
      <c r="A3" s="5" t="s">
        <v>3</v>
      </c>
      <c r="B3" s="13" t="s">
        <v>2</v>
      </c>
      <c r="C3" s="12" t="s">
        <v>0</v>
      </c>
      <c r="D3" s="2">
        <v>62</v>
      </c>
      <c r="E3" s="27">
        <f t="shared" ref="E3:L3" si="0">D3+1</f>
        <v>63</v>
      </c>
      <c r="F3" s="27">
        <f t="shared" si="0"/>
        <v>64</v>
      </c>
      <c r="G3" s="27">
        <f t="shared" si="0"/>
        <v>65</v>
      </c>
      <c r="H3" s="27">
        <f t="shared" si="0"/>
        <v>66</v>
      </c>
      <c r="I3" s="27">
        <f t="shared" si="0"/>
        <v>67</v>
      </c>
      <c r="J3" s="27">
        <f t="shared" si="0"/>
        <v>68</v>
      </c>
      <c r="K3" s="27">
        <f t="shared" si="0"/>
        <v>69</v>
      </c>
      <c r="L3" s="3">
        <f t="shared" si="0"/>
        <v>70</v>
      </c>
    </row>
    <row r="4" spans="1:21" x14ac:dyDescent="0.25">
      <c r="A4" s="9">
        <v>62</v>
      </c>
      <c r="B4" s="6">
        <v>0.7</v>
      </c>
      <c r="C4" s="24">
        <f>12*5108</f>
        <v>61296</v>
      </c>
      <c r="D4" s="14">
        <f>(VLOOKUP(D$3,$A$4:$B$12, 2, 0)*$C4)+($M$2*(VLOOKUP(D$3,$A$4:$B$12, 2, 0)*$C4))-$N$2</f>
        <v>30052.559999999998</v>
      </c>
      <c r="E4" s="15"/>
      <c r="F4" s="15"/>
      <c r="G4" s="15"/>
      <c r="H4" s="15"/>
      <c r="I4" s="15"/>
      <c r="J4" s="15"/>
      <c r="K4" s="15"/>
      <c r="L4" s="16"/>
      <c r="S4" s="1"/>
    </row>
    <row r="5" spans="1:21" x14ac:dyDescent="0.25">
      <c r="A5" s="10">
        <f>A4+1</f>
        <v>63</v>
      </c>
      <c r="B5" s="7">
        <v>0.75</v>
      </c>
      <c r="C5" s="25">
        <f t="shared" ref="C5:C65" si="1">12*5108</f>
        <v>61296</v>
      </c>
      <c r="D5" s="17">
        <f>D4+ (VLOOKUP(D$3,$A$4:$B$12, 2, 0)*$C5)+($M$2*(D4+ (VLOOKUP(D$3,$A$4:$B$12, 2, 0)*$C5)))-$N$2</f>
        <v>61607.747999999992</v>
      </c>
      <c r="E5" s="18">
        <f t="shared" ref="E5" si="2">E4+ (VLOOKUP(E$3,$A$4:$B$12, 2, 0)*$C5)+($M$2*(E4+ (VLOOKUP(E$3,$A$4:$B$12, 2, 0)*$C5)))-$N$2</f>
        <v>33270.6</v>
      </c>
      <c r="F5" s="18"/>
      <c r="G5" s="18"/>
      <c r="H5" s="18"/>
      <c r="I5" s="18"/>
      <c r="J5" s="18"/>
      <c r="K5" s="18"/>
      <c r="L5" s="19"/>
      <c r="S5" s="1"/>
    </row>
    <row r="6" spans="1:21" x14ac:dyDescent="0.25">
      <c r="A6" s="10">
        <f t="shared" ref="A6:A42" si="3">A5+1</f>
        <v>64</v>
      </c>
      <c r="B6" s="7">
        <v>0.8</v>
      </c>
      <c r="C6" s="25">
        <f t="shared" si="1"/>
        <v>61296</v>
      </c>
      <c r="D6" s="17">
        <f t="shared" ref="D6:D42" si="4">D5+ (VLOOKUP(D$3,$A$4:$B$12, 2, 0)*$C6)+($M$2*(D5+ (VLOOKUP(D$3,$A$4:$B$12, 2, 0)*$C6)))-$N$2</f>
        <v>94740.695399999997</v>
      </c>
      <c r="E6" s="18">
        <f t="shared" ref="E6:E42" si="5">E5+ (VLOOKUP(E$3,$A$4:$B$12, 2, 0)*$C6)+($M$2*(E5+ (VLOOKUP(E$3,$A$4:$B$12, 2, 0)*$C6)))-$N$2</f>
        <v>68204.73000000001</v>
      </c>
      <c r="F6" s="18">
        <f t="shared" ref="F6:F42" si="6">F5+ (VLOOKUP(F$3,$A$4:$B$12, 2, 0)*$C6)+($M$2*(F5+ (VLOOKUP(F$3,$A$4:$B$12, 2, 0)*$C6)))-$N$2</f>
        <v>36488.639999999999</v>
      </c>
      <c r="G6" s="18"/>
      <c r="H6" s="18"/>
      <c r="I6" s="18"/>
      <c r="J6" s="18"/>
      <c r="K6" s="18"/>
      <c r="L6" s="19"/>
      <c r="S6" s="1"/>
    </row>
    <row r="7" spans="1:21" x14ac:dyDescent="0.25">
      <c r="A7" s="10">
        <f t="shared" si="3"/>
        <v>65</v>
      </c>
      <c r="B7" s="7">
        <v>0.86</v>
      </c>
      <c r="C7" s="25">
        <f t="shared" si="1"/>
        <v>61296</v>
      </c>
      <c r="D7" s="17">
        <f t="shared" si="4"/>
        <v>129530.29016999999</v>
      </c>
      <c r="E7" s="18">
        <f t="shared" si="5"/>
        <v>104885.56650000002</v>
      </c>
      <c r="F7" s="18">
        <f t="shared" si="6"/>
        <v>74801.712</v>
      </c>
      <c r="G7" s="18">
        <f t="shared" ref="G7:G42" si="7">G6+ (VLOOKUP(G$3,$A$4:$B$12, 2, 0)*$C7)+($M$2*(G6+ (VLOOKUP(G$3,$A$4:$B$12, 2, 0)*$C7)))-$N$2</f>
        <v>40350.288</v>
      </c>
      <c r="H7" s="18"/>
      <c r="I7" s="18"/>
      <c r="J7" s="18"/>
      <c r="K7" s="18"/>
      <c r="L7" s="19"/>
      <c r="S7" s="1"/>
    </row>
    <row r="8" spans="1:21" x14ac:dyDescent="0.25">
      <c r="A8" s="10">
        <f t="shared" si="3"/>
        <v>66</v>
      </c>
      <c r="B8" s="7">
        <v>0.93</v>
      </c>
      <c r="C8" s="25">
        <f t="shared" si="1"/>
        <v>61296</v>
      </c>
      <c r="D8" s="17">
        <f t="shared" si="4"/>
        <v>166059.36467850002</v>
      </c>
      <c r="E8" s="18">
        <f t="shared" si="5"/>
        <v>143400.44482500001</v>
      </c>
      <c r="F8" s="18">
        <f t="shared" si="6"/>
        <v>115030.4376</v>
      </c>
      <c r="G8" s="18">
        <f t="shared" si="7"/>
        <v>82718.090400000001</v>
      </c>
      <c r="H8" s="18">
        <f t="shared" ref="H8:H42" si="8">H7+ (VLOOKUP(H$3,$A$4:$B$12, 2, 0)*$C8)+($M$2*(H7+ (VLOOKUP(H$3,$A$4:$B$12, 2, 0)*$C8)))-$N$2</f>
        <v>44855.544000000009</v>
      </c>
      <c r="I8" s="18"/>
      <c r="J8" s="18"/>
      <c r="K8" s="18"/>
      <c r="L8" s="19"/>
      <c r="S8" s="1"/>
    </row>
    <row r="9" spans="1:21" x14ac:dyDescent="0.25">
      <c r="A9" s="10">
        <f t="shared" si="3"/>
        <v>67</v>
      </c>
      <c r="B9" s="7">
        <v>1</v>
      </c>
      <c r="C9" s="25">
        <f t="shared" si="1"/>
        <v>61296</v>
      </c>
      <c r="D9" s="17">
        <f t="shared" si="4"/>
        <v>204414.89291242498</v>
      </c>
      <c r="E9" s="18">
        <f t="shared" si="5"/>
        <v>183841.06706625002</v>
      </c>
      <c r="F9" s="18">
        <f t="shared" si="6"/>
        <v>157270.59948</v>
      </c>
      <c r="G9" s="18">
        <f t="shared" si="7"/>
        <v>127204.28291999997</v>
      </c>
      <c r="H9" s="18">
        <f t="shared" si="8"/>
        <v>91953.865200000029</v>
      </c>
      <c r="I9" s="18">
        <f t="shared" ref="I9:I42" si="9">I8+ (VLOOKUP(I$3,$A$4:$B$12, 2, 0)*$C9)+($M$2*(I8+ (VLOOKUP(I$3,$A$4:$B$12, 2, 0)*$C9)))-$N$2</f>
        <v>49360.800000000003</v>
      </c>
      <c r="J9" s="18"/>
      <c r="K9" s="18"/>
      <c r="L9" s="19"/>
      <c r="S9" s="1"/>
    </row>
    <row r="10" spans="1:21" x14ac:dyDescent="0.25">
      <c r="A10" s="10">
        <f t="shared" si="3"/>
        <v>68</v>
      </c>
      <c r="B10" s="7">
        <v>1.08</v>
      </c>
      <c r="C10" s="25">
        <f t="shared" si="1"/>
        <v>61296</v>
      </c>
      <c r="D10" s="17">
        <f t="shared" si="4"/>
        <v>244688.19755804626</v>
      </c>
      <c r="E10" s="18">
        <f t="shared" si="5"/>
        <v>226303.72041956251</v>
      </c>
      <c r="F10" s="18">
        <f t="shared" si="6"/>
        <v>201622.76945400002</v>
      </c>
      <c r="G10" s="18">
        <f t="shared" si="7"/>
        <v>173914.78506599995</v>
      </c>
      <c r="H10" s="18">
        <f t="shared" si="8"/>
        <v>141407.10246000002</v>
      </c>
      <c r="I10" s="18">
        <f t="shared" si="9"/>
        <v>101189.64</v>
      </c>
      <c r="J10" s="18">
        <f t="shared" ref="J10:J42" si="10">J9+ (VLOOKUP(J$3,$A$4:$B$12, 2, 0)*$C10)+($M$2*(J9+ (VLOOKUP(J$3,$A$4:$B$12, 2, 0)*$C10)))-$N$2</f>
        <v>54509.664000000004</v>
      </c>
      <c r="K10" s="18"/>
      <c r="L10" s="19"/>
      <c r="S10" s="1"/>
    </row>
    <row r="11" spans="1:21" x14ac:dyDescent="0.25">
      <c r="A11" s="10">
        <f t="shared" si="3"/>
        <v>69</v>
      </c>
      <c r="B11" s="7">
        <v>1.1599999999999999</v>
      </c>
      <c r="C11" s="25">
        <f t="shared" si="1"/>
        <v>61296</v>
      </c>
      <c r="D11" s="17">
        <f t="shared" si="4"/>
        <v>286975.16743594856</v>
      </c>
      <c r="E11" s="18">
        <f t="shared" si="5"/>
        <v>270889.50644054066</v>
      </c>
      <c r="F11" s="18">
        <f t="shared" si="6"/>
        <v>248192.54792670003</v>
      </c>
      <c r="G11" s="18">
        <f t="shared" si="7"/>
        <v>222960.81231929996</v>
      </c>
      <c r="H11" s="18">
        <f t="shared" si="8"/>
        <v>193333.00158300003</v>
      </c>
      <c r="I11" s="18">
        <f t="shared" si="9"/>
        <v>155609.92200000002</v>
      </c>
      <c r="J11" s="18">
        <f t="shared" si="10"/>
        <v>111744.81120000001</v>
      </c>
      <c r="K11" s="18">
        <f t="shared" ref="K11:K42" si="11">K10+ (VLOOKUP(K$3,$A$4:$B$12, 2, 0)*$C11)+($M$2*(K10+ (VLOOKUP(K$3,$A$4:$B$12, 2, 0)*$C11)))-$N$2</f>
        <v>59658.528000000006</v>
      </c>
      <c r="L11" s="19"/>
      <c r="S11" s="1"/>
    </row>
    <row r="12" spans="1:21" ht="15.75" thickBot="1" x14ac:dyDescent="0.3">
      <c r="A12" s="10">
        <f t="shared" si="3"/>
        <v>70</v>
      </c>
      <c r="B12" s="8">
        <v>1.24</v>
      </c>
      <c r="C12" s="25">
        <f t="shared" si="1"/>
        <v>61296</v>
      </c>
      <c r="D12" s="17">
        <f t="shared" si="4"/>
        <v>331376.48580774601</v>
      </c>
      <c r="E12" s="18">
        <f t="shared" si="5"/>
        <v>317704.58176256769</v>
      </c>
      <c r="F12" s="18">
        <f t="shared" si="6"/>
        <v>297090.815323035</v>
      </c>
      <c r="G12" s="18">
        <f t="shared" si="7"/>
        <v>274459.14093526494</v>
      </c>
      <c r="H12" s="18">
        <f t="shared" si="8"/>
        <v>247855.19566215004</v>
      </c>
      <c r="I12" s="18">
        <f t="shared" si="9"/>
        <v>212751.21810000003</v>
      </c>
      <c r="J12" s="18">
        <f t="shared" si="10"/>
        <v>171841.71576000002</v>
      </c>
      <c r="K12" s="18">
        <f t="shared" si="11"/>
        <v>122299.98240000001</v>
      </c>
      <c r="L12" s="19">
        <f t="shared" ref="L12:L42" si="12">L11+ (VLOOKUP(L$3,$A$4:$B$12, 2, 0)*$C12)+($M$2*(L11+ (VLOOKUP(L$3,$A$4:$B$12, 2, 0)*$C12)))-$N$2</f>
        <v>64807.391999999993</v>
      </c>
      <c r="N12" s="23"/>
      <c r="O12" s="23"/>
      <c r="P12" s="1"/>
      <c r="Q12" s="1"/>
      <c r="R12" s="1"/>
      <c r="S12" s="1"/>
      <c r="T12" s="1"/>
      <c r="U12" s="1"/>
    </row>
    <row r="13" spans="1:21" x14ac:dyDescent="0.25">
      <c r="A13" s="10">
        <f t="shared" si="3"/>
        <v>71</v>
      </c>
      <c r="B13" s="7"/>
      <c r="C13" s="25">
        <f t="shared" si="1"/>
        <v>61296</v>
      </c>
      <c r="D13" s="17">
        <f t="shared" si="4"/>
        <v>377997.87009813334</v>
      </c>
      <c r="E13" s="18">
        <f t="shared" si="5"/>
        <v>366860.41085069609</v>
      </c>
      <c r="F13" s="18">
        <f t="shared" si="6"/>
        <v>348433.99608918675</v>
      </c>
      <c r="G13" s="18">
        <f t="shared" si="7"/>
        <v>328532.38598202821</v>
      </c>
      <c r="H13" s="18">
        <f t="shared" si="8"/>
        <v>305103.49944525759</v>
      </c>
      <c r="I13" s="18">
        <f t="shared" si="9"/>
        <v>272749.57900500007</v>
      </c>
      <c r="J13" s="18">
        <f t="shared" si="10"/>
        <v>234943.46554800004</v>
      </c>
      <c r="K13" s="18">
        <f t="shared" si="11"/>
        <v>188073.50952000002</v>
      </c>
      <c r="L13" s="19">
        <f t="shared" si="12"/>
        <v>132855.15359999996</v>
      </c>
      <c r="N13" s="23"/>
      <c r="O13" s="23"/>
      <c r="P13" s="1"/>
      <c r="Q13" s="1"/>
      <c r="R13" s="1"/>
      <c r="S13" s="1"/>
      <c r="T13" s="1"/>
      <c r="U13" s="1"/>
    </row>
    <row r="14" spans="1:21" x14ac:dyDescent="0.25">
      <c r="A14" s="10">
        <f t="shared" si="3"/>
        <v>72</v>
      </c>
      <c r="B14" s="7"/>
      <c r="C14" s="25">
        <f t="shared" si="1"/>
        <v>61296</v>
      </c>
      <c r="D14" s="17">
        <f t="shared" si="4"/>
        <v>426950.32360304001</v>
      </c>
      <c r="E14" s="18">
        <f t="shared" si="5"/>
        <v>418474.03139323089</v>
      </c>
      <c r="F14" s="18">
        <f t="shared" si="6"/>
        <v>402344.33589364606</v>
      </c>
      <c r="G14" s="18">
        <f t="shared" si="7"/>
        <v>385309.29328112962</v>
      </c>
      <c r="H14" s="18">
        <f t="shared" si="8"/>
        <v>365214.21841752052</v>
      </c>
      <c r="I14" s="18">
        <f t="shared" si="9"/>
        <v>335747.85795525007</v>
      </c>
      <c r="J14" s="18">
        <f t="shared" si="10"/>
        <v>301200.30282540008</v>
      </c>
      <c r="K14" s="18">
        <f t="shared" si="11"/>
        <v>257135.71299600002</v>
      </c>
      <c r="L14" s="19">
        <f t="shared" si="12"/>
        <v>204305.30327999993</v>
      </c>
      <c r="N14" s="23"/>
      <c r="O14" s="23"/>
      <c r="P14" s="1"/>
      <c r="Q14" s="1"/>
      <c r="R14" s="1"/>
      <c r="S14" s="1"/>
      <c r="T14" s="1"/>
      <c r="U14" s="1"/>
    </row>
    <row r="15" spans="1:21" x14ac:dyDescent="0.25">
      <c r="A15" s="10">
        <f t="shared" si="3"/>
        <v>73</v>
      </c>
      <c r="B15" s="7"/>
      <c r="C15" s="25">
        <f t="shared" si="1"/>
        <v>61296</v>
      </c>
      <c r="D15" s="17">
        <f t="shared" si="4"/>
        <v>478350.39978319203</v>
      </c>
      <c r="E15" s="18">
        <f t="shared" si="5"/>
        <v>472668.33296289243</v>
      </c>
      <c r="F15" s="18">
        <f t="shared" si="6"/>
        <v>458950.19268832833</v>
      </c>
      <c r="G15" s="18">
        <f t="shared" si="7"/>
        <v>444925.04594518611</v>
      </c>
      <c r="H15" s="18">
        <f t="shared" si="8"/>
        <v>428330.47333839658</v>
      </c>
      <c r="I15" s="18">
        <f t="shared" si="9"/>
        <v>401896.0508530126</v>
      </c>
      <c r="J15" s="18">
        <f t="shared" si="10"/>
        <v>370769.98196667008</v>
      </c>
      <c r="K15" s="18">
        <f t="shared" si="11"/>
        <v>329651.02664579998</v>
      </c>
      <c r="L15" s="19">
        <f t="shared" si="12"/>
        <v>279327.96044399991</v>
      </c>
      <c r="N15" s="23"/>
      <c r="O15" s="23"/>
      <c r="P15" s="1"/>
      <c r="Q15" s="1"/>
      <c r="R15" s="1"/>
      <c r="S15" s="1"/>
      <c r="T15" s="1"/>
      <c r="U15" s="1"/>
    </row>
    <row r="16" spans="1:21" x14ac:dyDescent="0.25">
      <c r="A16" s="10">
        <f t="shared" si="3"/>
        <v>74</v>
      </c>
      <c r="B16" s="7"/>
      <c r="C16" s="25">
        <f t="shared" si="1"/>
        <v>61296</v>
      </c>
      <c r="D16" s="17">
        <f t="shared" si="4"/>
        <v>532320.47977235168</v>
      </c>
      <c r="E16" s="18">
        <f t="shared" si="5"/>
        <v>529572.34961103706</v>
      </c>
      <c r="F16" s="18">
        <f t="shared" si="6"/>
        <v>518386.34232274478</v>
      </c>
      <c r="G16" s="18">
        <f t="shared" si="7"/>
        <v>507521.5862424454</v>
      </c>
      <c r="H16" s="18">
        <f t="shared" si="8"/>
        <v>494602.54100531642</v>
      </c>
      <c r="I16" s="18">
        <f t="shared" si="9"/>
        <v>471351.65339566325</v>
      </c>
      <c r="J16" s="18">
        <f t="shared" si="10"/>
        <v>443818.1450650036</v>
      </c>
      <c r="K16" s="18">
        <f t="shared" si="11"/>
        <v>405792.10597808997</v>
      </c>
      <c r="L16" s="19">
        <f t="shared" si="12"/>
        <v>358101.75046619988</v>
      </c>
      <c r="N16" s="23"/>
      <c r="O16" s="23"/>
      <c r="P16" s="1"/>
      <c r="Q16" s="1"/>
      <c r="R16" s="1"/>
      <c r="S16" s="1"/>
      <c r="T16" s="1"/>
      <c r="U16" s="1"/>
    </row>
    <row r="17" spans="1:21" x14ac:dyDescent="0.25">
      <c r="A17" s="10">
        <f t="shared" si="3"/>
        <v>75</v>
      </c>
      <c r="B17" s="7"/>
      <c r="C17" s="25">
        <f t="shared" si="1"/>
        <v>61296</v>
      </c>
      <c r="D17" s="17">
        <f t="shared" si="4"/>
        <v>588989.06376096921</v>
      </c>
      <c r="E17" s="18">
        <f t="shared" si="5"/>
        <v>589321.56709158886</v>
      </c>
      <c r="F17" s="18">
        <f t="shared" si="6"/>
        <v>580794.29943888204</v>
      </c>
      <c r="G17" s="18">
        <f t="shared" si="7"/>
        <v>573247.95355456765</v>
      </c>
      <c r="H17" s="18">
        <f t="shared" si="8"/>
        <v>564188.21205558232</v>
      </c>
      <c r="I17" s="18">
        <f t="shared" si="9"/>
        <v>544280.03606544645</v>
      </c>
      <c r="J17" s="18">
        <f t="shared" si="10"/>
        <v>520518.71631825378</v>
      </c>
      <c r="K17" s="18">
        <f t="shared" si="11"/>
        <v>485740.23927699443</v>
      </c>
      <c r="L17" s="19">
        <f t="shared" si="12"/>
        <v>440814.22998950985</v>
      </c>
      <c r="N17" s="23"/>
      <c r="O17" s="23"/>
      <c r="P17" s="1"/>
      <c r="Q17" s="1"/>
      <c r="R17" s="1"/>
      <c r="S17" s="1"/>
      <c r="T17" s="1"/>
      <c r="U17" s="1"/>
    </row>
    <row r="18" spans="1:21" x14ac:dyDescent="0.25">
      <c r="A18" s="10">
        <f t="shared" si="3"/>
        <v>76</v>
      </c>
      <c r="B18" s="7"/>
      <c r="C18" s="25">
        <f t="shared" si="1"/>
        <v>61296</v>
      </c>
      <c r="D18" s="17">
        <f t="shared" si="4"/>
        <v>648491.07694901759</v>
      </c>
      <c r="E18" s="18">
        <f t="shared" si="5"/>
        <v>652058.24544616835</v>
      </c>
      <c r="F18" s="18">
        <f t="shared" si="6"/>
        <v>646322.65441082616</v>
      </c>
      <c r="G18" s="18">
        <f t="shared" si="7"/>
        <v>642260.63923229603</v>
      </c>
      <c r="H18" s="18">
        <f t="shared" si="8"/>
        <v>637253.16665836144</v>
      </c>
      <c r="I18" s="18">
        <f t="shared" si="9"/>
        <v>620854.83786871878</v>
      </c>
      <c r="J18" s="18">
        <f t="shared" si="10"/>
        <v>601054.31613416655</v>
      </c>
      <c r="K18" s="18">
        <f t="shared" si="11"/>
        <v>569685.77924084419</v>
      </c>
      <c r="L18" s="19">
        <f t="shared" si="12"/>
        <v>527662.33348898531</v>
      </c>
      <c r="N18" s="23"/>
      <c r="O18" s="23"/>
      <c r="P18" s="1"/>
      <c r="Q18" s="1"/>
      <c r="R18" s="1"/>
      <c r="S18" s="1"/>
      <c r="T18" s="1"/>
      <c r="U18" s="1"/>
    </row>
    <row r="19" spans="1:21" x14ac:dyDescent="0.25">
      <c r="A19" s="10">
        <f t="shared" si="3"/>
        <v>77</v>
      </c>
      <c r="B19" s="7"/>
      <c r="C19" s="25">
        <f t="shared" si="1"/>
        <v>61296</v>
      </c>
      <c r="D19" s="17">
        <f t="shared" si="4"/>
        <v>710968.19079646841</v>
      </c>
      <c r="E19" s="18">
        <f t="shared" si="5"/>
        <v>717931.75771847682</v>
      </c>
      <c r="F19" s="18">
        <f t="shared" si="6"/>
        <v>715127.4271313675</v>
      </c>
      <c r="G19" s="18">
        <f t="shared" si="7"/>
        <v>714723.95919391094</v>
      </c>
      <c r="H19" s="18">
        <f t="shared" si="8"/>
        <v>713971.36899127951</v>
      </c>
      <c r="I19" s="18">
        <f t="shared" si="9"/>
        <v>701258.37976215477</v>
      </c>
      <c r="J19" s="18">
        <f t="shared" si="10"/>
        <v>685616.69594087498</v>
      </c>
      <c r="K19" s="18">
        <f t="shared" si="11"/>
        <v>657828.59620288643</v>
      </c>
      <c r="L19" s="19">
        <f t="shared" si="12"/>
        <v>618852.8421634346</v>
      </c>
      <c r="N19" s="23"/>
      <c r="O19" s="23"/>
      <c r="P19" s="1"/>
      <c r="Q19" s="1"/>
      <c r="R19" s="1"/>
      <c r="S19" s="1"/>
      <c r="T19" s="1"/>
      <c r="U19" s="1"/>
    </row>
    <row r="20" spans="1:21" x14ac:dyDescent="0.25">
      <c r="A20" s="10">
        <f t="shared" si="3"/>
        <v>78</v>
      </c>
      <c r="B20" s="7"/>
      <c r="C20" s="25">
        <f t="shared" si="1"/>
        <v>61296</v>
      </c>
      <c r="D20" s="17">
        <f t="shared" si="4"/>
        <v>776569.16033629177</v>
      </c>
      <c r="E20" s="18">
        <f t="shared" si="5"/>
        <v>787098.94560440071</v>
      </c>
      <c r="F20" s="18">
        <f t="shared" si="6"/>
        <v>787372.43848793593</v>
      </c>
      <c r="G20" s="18">
        <f t="shared" si="7"/>
        <v>790810.44515360659</v>
      </c>
      <c r="H20" s="18">
        <f t="shared" si="8"/>
        <v>794525.48144084355</v>
      </c>
      <c r="I20" s="18">
        <f t="shared" si="9"/>
        <v>785682.09875026252</v>
      </c>
      <c r="J20" s="18">
        <f t="shared" si="10"/>
        <v>774407.19473791879</v>
      </c>
      <c r="K20" s="18">
        <f t="shared" si="11"/>
        <v>750378.55401303072</v>
      </c>
      <c r="L20" s="19">
        <f t="shared" si="12"/>
        <v>714602.87627160642</v>
      </c>
      <c r="N20" s="23"/>
      <c r="O20" s="23"/>
      <c r="P20" s="1"/>
      <c r="Q20" s="1"/>
      <c r="R20" s="1"/>
      <c r="S20" s="1"/>
      <c r="T20" s="1"/>
      <c r="U20" s="1"/>
    </row>
    <row r="21" spans="1:21" x14ac:dyDescent="0.25">
      <c r="A21" s="10">
        <f t="shared" si="3"/>
        <v>79</v>
      </c>
      <c r="B21" s="7"/>
      <c r="C21" s="25">
        <f t="shared" si="1"/>
        <v>61296</v>
      </c>
      <c r="D21" s="17">
        <f t="shared" si="4"/>
        <v>845450.17835310637</v>
      </c>
      <c r="E21" s="18">
        <f t="shared" si="5"/>
        <v>859724.49288462079</v>
      </c>
      <c r="F21" s="18">
        <f t="shared" si="6"/>
        <v>863229.70041233278</v>
      </c>
      <c r="G21" s="18">
        <f t="shared" si="7"/>
        <v>870701.25541128695</v>
      </c>
      <c r="H21" s="18">
        <f t="shared" si="8"/>
        <v>879107.29951288574</v>
      </c>
      <c r="I21" s="18">
        <f t="shared" si="9"/>
        <v>874327.00368777569</v>
      </c>
      <c r="J21" s="18">
        <f t="shared" si="10"/>
        <v>867637.21847481478</v>
      </c>
      <c r="K21" s="18">
        <f t="shared" si="11"/>
        <v>847556.00971368223</v>
      </c>
      <c r="L21" s="19">
        <f t="shared" si="12"/>
        <v>815140.41208518681</v>
      </c>
      <c r="N21" s="23"/>
      <c r="O21" s="23"/>
      <c r="P21" s="1"/>
      <c r="Q21" s="1"/>
      <c r="R21" s="1"/>
      <c r="S21" s="1"/>
      <c r="T21" s="1"/>
      <c r="U21" s="1"/>
    </row>
    <row r="22" spans="1:21" x14ac:dyDescent="0.25">
      <c r="A22" s="10">
        <f t="shared" si="3"/>
        <v>80</v>
      </c>
      <c r="B22" s="7"/>
      <c r="C22" s="25">
        <f t="shared" si="1"/>
        <v>61296</v>
      </c>
      <c r="D22" s="17">
        <f t="shared" si="4"/>
        <v>917775.24727076164</v>
      </c>
      <c r="E22" s="18">
        <f t="shared" si="5"/>
        <v>935981.3175288518</v>
      </c>
      <c r="F22" s="18">
        <f t="shared" si="6"/>
        <v>942879.82543294947</v>
      </c>
      <c r="G22" s="18">
        <f t="shared" si="7"/>
        <v>954586.60618185124</v>
      </c>
      <c r="H22" s="18">
        <f t="shared" si="8"/>
        <v>967918.20848853001</v>
      </c>
      <c r="I22" s="18">
        <f t="shared" si="9"/>
        <v>967404.15387216443</v>
      </c>
      <c r="J22" s="18">
        <f t="shared" si="10"/>
        <v>965528.74339855555</v>
      </c>
      <c r="K22" s="18">
        <f t="shared" si="11"/>
        <v>949592.33819936635</v>
      </c>
      <c r="L22" s="19">
        <f t="shared" si="12"/>
        <v>920704.82468944625</v>
      </c>
      <c r="N22" s="23"/>
      <c r="O22" s="23"/>
      <c r="P22" s="1"/>
      <c r="Q22" s="1"/>
      <c r="R22" s="1"/>
      <c r="S22" s="1"/>
      <c r="T22" s="1"/>
      <c r="U22" s="1"/>
    </row>
    <row r="23" spans="1:21" x14ac:dyDescent="0.25">
      <c r="A23" s="10">
        <f t="shared" si="3"/>
        <v>81</v>
      </c>
      <c r="B23" s="7"/>
      <c r="C23" s="25">
        <f t="shared" si="1"/>
        <v>61296</v>
      </c>
      <c r="D23" s="17">
        <f t="shared" si="4"/>
        <v>993716.56963429973</v>
      </c>
      <c r="E23" s="18">
        <f t="shared" si="5"/>
        <v>1016050.9834052944</v>
      </c>
      <c r="F23" s="18">
        <f t="shared" si="6"/>
        <v>1026512.456704597</v>
      </c>
      <c r="G23" s="18">
        <f t="shared" si="7"/>
        <v>1042666.2244909438</v>
      </c>
      <c r="H23" s="18">
        <f t="shared" si="8"/>
        <v>1061169.6629129564</v>
      </c>
      <c r="I23" s="18">
        <f t="shared" si="9"/>
        <v>1065135.1615657727</v>
      </c>
      <c r="J23" s="18">
        <f t="shared" si="10"/>
        <v>1068314.8445684833</v>
      </c>
      <c r="K23" s="18">
        <f t="shared" si="11"/>
        <v>1056730.4831093347</v>
      </c>
      <c r="L23" s="19">
        <f t="shared" si="12"/>
        <v>1031547.4579239186</v>
      </c>
      <c r="N23" s="23"/>
      <c r="O23" s="23"/>
      <c r="P23" s="1"/>
      <c r="Q23" s="1"/>
      <c r="R23" s="1"/>
      <c r="S23" s="1"/>
      <c r="T23" s="1"/>
      <c r="U23" s="1"/>
    </row>
    <row r="24" spans="1:21" x14ac:dyDescent="0.25">
      <c r="A24" s="10">
        <f t="shared" si="3"/>
        <v>82</v>
      </c>
      <c r="B24" s="7"/>
      <c r="C24" s="25">
        <f t="shared" si="1"/>
        <v>61296</v>
      </c>
      <c r="D24" s="17">
        <f t="shared" si="4"/>
        <v>1073454.9581160147</v>
      </c>
      <c r="E24" s="18">
        <f t="shared" si="5"/>
        <v>1100124.132575559</v>
      </c>
      <c r="F24" s="18">
        <f t="shared" si="6"/>
        <v>1114326.719539827</v>
      </c>
      <c r="G24" s="18">
        <f t="shared" si="7"/>
        <v>1135149.823715491</v>
      </c>
      <c r="H24" s="18">
        <f t="shared" si="8"/>
        <v>1159083.6900586043</v>
      </c>
      <c r="I24" s="18">
        <f t="shared" si="9"/>
        <v>1167752.7196440613</v>
      </c>
      <c r="J24" s="18">
        <f t="shared" si="10"/>
        <v>1176240.2507969073</v>
      </c>
      <c r="K24" s="18">
        <f t="shared" si="11"/>
        <v>1169225.5352648015</v>
      </c>
      <c r="L24" s="19">
        <f t="shared" si="12"/>
        <v>1147932.2228201143</v>
      </c>
      <c r="N24" s="23"/>
      <c r="O24" s="23"/>
      <c r="P24" s="1"/>
      <c r="Q24" s="1"/>
      <c r="R24" s="1"/>
      <c r="S24" s="1"/>
      <c r="T24" s="1"/>
      <c r="U24" s="1"/>
    </row>
    <row r="25" spans="1:21" x14ac:dyDescent="0.25">
      <c r="A25" s="10">
        <f t="shared" si="3"/>
        <v>83</v>
      </c>
      <c r="B25" s="7"/>
      <c r="C25" s="25">
        <f t="shared" si="1"/>
        <v>61296</v>
      </c>
      <c r="D25" s="17">
        <f t="shared" si="4"/>
        <v>1157180.2660218154</v>
      </c>
      <c r="E25" s="18">
        <f t="shared" si="5"/>
        <v>1188400.9392043368</v>
      </c>
      <c r="F25" s="18">
        <f t="shared" si="6"/>
        <v>1206531.6955168184</v>
      </c>
      <c r="G25" s="18">
        <f t="shared" si="7"/>
        <v>1232257.6029012655</v>
      </c>
      <c r="H25" s="18">
        <f t="shared" si="8"/>
        <v>1261893.4185615345</v>
      </c>
      <c r="I25" s="18">
        <f t="shared" si="9"/>
        <v>1275501.1556262644</v>
      </c>
      <c r="J25" s="18">
        <f t="shared" si="10"/>
        <v>1289561.9273367526</v>
      </c>
      <c r="K25" s="18">
        <f t="shared" si="11"/>
        <v>1287345.3400280417</v>
      </c>
      <c r="L25" s="19">
        <f t="shared" si="12"/>
        <v>1270136.2259611201</v>
      </c>
      <c r="N25" s="23"/>
      <c r="O25" s="23"/>
      <c r="P25" s="1"/>
      <c r="Q25" s="1"/>
      <c r="R25" s="1"/>
      <c r="S25" s="1"/>
      <c r="T25" s="1"/>
      <c r="U25" s="1"/>
    </row>
    <row r="26" spans="1:21" x14ac:dyDescent="0.25">
      <c r="A26" s="10">
        <f t="shared" si="3"/>
        <v>84</v>
      </c>
      <c r="B26" s="7"/>
      <c r="C26" s="25">
        <f t="shared" si="1"/>
        <v>61296</v>
      </c>
      <c r="D26" s="17">
        <f t="shared" si="4"/>
        <v>1245091.839322906</v>
      </c>
      <c r="E26" s="18">
        <f t="shared" si="5"/>
        <v>1281091.5861645536</v>
      </c>
      <c r="F26" s="18">
        <f t="shared" si="6"/>
        <v>1303346.9202926594</v>
      </c>
      <c r="G26" s="18">
        <f t="shared" si="7"/>
        <v>1334220.7710463288</v>
      </c>
      <c r="H26" s="18">
        <f t="shared" si="8"/>
        <v>1369843.6334896113</v>
      </c>
      <c r="I26" s="18">
        <f t="shared" si="9"/>
        <v>1388637.0134075775</v>
      </c>
      <c r="J26" s="18">
        <f t="shared" si="10"/>
        <v>1408549.6877035901</v>
      </c>
      <c r="K26" s="18">
        <f t="shared" si="11"/>
        <v>1411371.135029444</v>
      </c>
      <c r="L26" s="19">
        <f t="shared" si="12"/>
        <v>1398450.4292591761</v>
      </c>
      <c r="N26" s="23"/>
      <c r="O26" s="23"/>
      <c r="P26" s="1"/>
      <c r="Q26" s="1"/>
      <c r="R26" s="1"/>
      <c r="S26" s="1"/>
      <c r="T26" s="1"/>
      <c r="U26" s="1"/>
    </row>
    <row r="27" spans="1:21" x14ac:dyDescent="0.25">
      <c r="A27" s="10">
        <f t="shared" si="3"/>
        <v>85</v>
      </c>
      <c r="B27" s="7"/>
      <c r="C27" s="25">
        <f t="shared" si="1"/>
        <v>61296</v>
      </c>
      <c r="D27" s="17">
        <f t="shared" si="4"/>
        <v>1337398.9912890512</v>
      </c>
      <c r="E27" s="18">
        <f t="shared" si="5"/>
        <v>1378416.7654727814</v>
      </c>
      <c r="F27" s="18">
        <f t="shared" si="6"/>
        <v>1405002.9063072924</v>
      </c>
      <c r="G27" s="18">
        <f t="shared" si="7"/>
        <v>1441282.0975986454</v>
      </c>
      <c r="H27" s="18">
        <f t="shared" si="8"/>
        <v>1483191.359164092</v>
      </c>
      <c r="I27" s="18">
        <f t="shared" si="9"/>
        <v>1507429.6640779565</v>
      </c>
      <c r="J27" s="18">
        <f t="shared" si="10"/>
        <v>1533486.8360887696</v>
      </c>
      <c r="K27" s="18">
        <f t="shared" si="11"/>
        <v>1541598.2197809163</v>
      </c>
      <c r="L27" s="19">
        <f t="shared" si="12"/>
        <v>1533180.3427221349</v>
      </c>
      <c r="N27" s="23"/>
      <c r="O27" s="23"/>
      <c r="P27" s="1"/>
      <c r="Q27" s="1"/>
      <c r="R27" s="1"/>
      <c r="S27" s="1"/>
      <c r="T27" s="1"/>
      <c r="U27" s="1"/>
    </row>
    <row r="28" spans="1:21" x14ac:dyDescent="0.25">
      <c r="A28" s="10">
        <f t="shared" si="3"/>
        <v>86</v>
      </c>
      <c r="B28" s="7"/>
      <c r="C28" s="25">
        <f t="shared" si="1"/>
        <v>61296</v>
      </c>
      <c r="D28" s="17">
        <f t="shared" si="4"/>
        <v>1434321.5008535038</v>
      </c>
      <c r="E28" s="18">
        <f t="shared" si="5"/>
        <v>1480608.2037464203</v>
      </c>
      <c r="F28" s="18">
        <f t="shared" si="6"/>
        <v>1511741.691622657</v>
      </c>
      <c r="G28" s="18">
        <f t="shared" si="7"/>
        <v>1553696.4904785778</v>
      </c>
      <c r="H28" s="18">
        <f t="shared" si="8"/>
        <v>1602206.4711222965</v>
      </c>
      <c r="I28" s="18">
        <f t="shared" si="9"/>
        <v>1632161.9472818542</v>
      </c>
      <c r="J28" s="18">
        <f t="shared" si="10"/>
        <v>1664670.841893208</v>
      </c>
      <c r="K28" s="18">
        <f t="shared" si="11"/>
        <v>1678336.6587699624</v>
      </c>
      <c r="L28" s="19">
        <f t="shared" si="12"/>
        <v>1674646.7518582416</v>
      </c>
      <c r="N28" s="23"/>
      <c r="O28" s="23"/>
      <c r="P28" s="1"/>
      <c r="Q28" s="1"/>
      <c r="R28" s="1"/>
      <c r="S28" s="1"/>
      <c r="T28" s="1"/>
      <c r="U28" s="1"/>
    </row>
    <row r="29" spans="1:21" x14ac:dyDescent="0.25">
      <c r="A29" s="10">
        <f t="shared" si="3"/>
        <v>87</v>
      </c>
      <c r="B29" s="7"/>
      <c r="C29" s="25">
        <f t="shared" si="1"/>
        <v>61296</v>
      </c>
      <c r="D29" s="17">
        <f t="shared" si="4"/>
        <v>1536090.1358961789</v>
      </c>
      <c r="E29" s="18">
        <f t="shared" si="5"/>
        <v>1587909.2139337414</v>
      </c>
      <c r="F29" s="18">
        <f t="shared" si="6"/>
        <v>1623817.4162037899</v>
      </c>
      <c r="G29" s="18">
        <f t="shared" si="7"/>
        <v>1671731.6030025068</v>
      </c>
      <c r="H29" s="18">
        <f t="shared" si="8"/>
        <v>1727172.3386784114</v>
      </c>
      <c r="I29" s="18">
        <f t="shared" si="9"/>
        <v>1763130.844645947</v>
      </c>
      <c r="J29" s="18">
        <f t="shared" si="10"/>
        <v>1802414.0479878683</v>
      </c>
      <c r="K29" s="18">
        <f t="shared" si="11"/>
        <v>1821912.0197084607</v>
      </c>
      <c r="L29" s="19">
        <f t="shared" si="12"/>
        <v>1823186.4814511538</v>
      </c>
      <c r="N29" s="23"/>
      <c r="O29" s="23"/>
      <c r="P29" s="1"/>
      <c r="Q29" s="1"/>
      <c r="R29" s="1"/>
      <c r="S29" s="1"/>
      <c r="T29" s="1"/>
      <c r="U29" s="1"/>
    </row>
    <row r="30" spans="1:21" x14ac:dyDescent="0.25">
      <c r="A30" s="10">
        <f t="shared" si="3"/>
        <v>88</v>
      </c>
      <c r="B30" s="7"/>
      <c r="C30" s="25">
        <f t="shared" si="1"/>
        <v>61296</v>
      </c>
      <c r="D30" s="17">
        <f t="shared" si="4"/>
        <v>1642947.2026909878</v>
      </c>
      <c r="E30" s="18">
        <f t="shared" si="5"/>
        <v>1700575.2746304285</v>
      </c>
      <c r="F30" s="18">
        <f t="shared" si="6"/>
        <v>1741496.9270139795</v>
      </c>
      <c r="G30" s="18">
        <f t="shared" si="7"/>
        <v>1795668.4711526323</v>
      </c>
      <c r="H30" s="18">
        <f t="shared" si="8"/>
        <v>1858386.4996123321</v>
      </c>
      <c r="I30" s="18">
        <f t="shared" si="9"/>
        <v>1900648.1868782444</v>
      </c>
      <c r="J30" s="18">
        <f t="shared" si="10"/>
        <v>1947044.4143872617</v>
      </c>
      <c r="K30" s="18">
        <f t="shared" si="11"/>
        <v>1972666.1486938838</v>
      </c>
      <c r="L30" s="19">
        <f t="shared" si="12"/>
        <v>1979153.1975237115</v>
      </c>
      <c r="N30" s="23"/>
      <c r="O30" s="23"/>
      <c r="P30" s="1"/>
      <c r="Q30" s="1"/>
      <c r="R30" s="1"/>
      <c r="S30" s="1"/>
      <c r="T30" s="1"/>
      <c r="U30" s="1"/>
    </row>
    <row r="31" spans="1:21" x14ac:dyDescent="0.25">
      <c r="A31" s="10">
        <f t="shared" si="3"/>
        <v>89</v>
      </c>
      <c r="B31" s="7"/>
      <c r="C31" s="25">
        <f t="shared" si="1"/>
        <v>61296</v>
      </c>
      <c r="D31" s="17">
        <f t="shared" si="4"/>
        <v>1755147.1228255371</v>
      </c>
      <c r="E31" s="18">
        <f t="shared" si="5"/>
        <v>1818874.6383619499</v>
      </c>
      <c r="F31" s="18">
        <f t="shared" si="6"/>
        <v>1865060.4133646786</v>
      </c>
      <c r="G31" s="18">
        <f t="shared" si="7"/>
        <v>1925802.1827102639</v>
      </c>
      <c r="H31" s="18">
        <f t="shared" si="8"/>
        <v>1996161.3685929487</v>
      </c>
      <c r="I31" s="18">
        <f t="shared" si="9"/>
        <v>2045041.3962221567</v>
      </c>
      <c r="J31" s="18">
        <f t="shared" si="10"/>
        <v>2098906.2991066249</v>
      </c>
      <c r="K31" s="18">
        <f t="shared" si="11"/>
        <v>2130957.9841285781</v>
      </c>
      <c r="L31" s="19">
        <f t="shared" si="12"/>
        <v>2142918.2493998972</v>
      </c>
      <c r="N31" s="23"/>
      <c r="O31" s="23"/>
      <c r="P31" s="1"/>
      <c r="Q31" s="1"/>
      <c r="R31" s="1"/>
      <c r="S31" s="1"/>
      <c r="T31" s="1"/>
      <c r="U31" s="1"/>
    </row>
    <row r="32" spans="1:21" x14ac:dyDescent="0.25">
      <c r="A32" s="10">
        <f t="shared" si="3"/>
        <v>90</v>
      </c>
      <c r="B32" s="7"/>
      <c r="C32" s="25">
        <f t="shared" si="1"/>
        <v>61296</v>
      </c>
      <c r="D32" s="17">
        <f t="shared" si="4"/>
        <v>1872957.0389668138</v>
      </c>
      <c r="E32" s="18">
        <f t="shared" si="5"/>
        <v>1943088.9702800475</v>
      </c>
      <c r="F32" s="18">
        <f t="shared" si="6"/>
        <v>1994802.0740329125</v>
      </c>
      <c r="G32" s="18">
        <f t="shared" si="7"/>
        <v>2062442.5798457772</v>
      </c>
      <c r="H32" s="18">
        <f t="shared" si="8"/>
        <v>2140824.9810225964</v>
      </c>
      <c r="I32" s="18">
        <f t="shared" si="9"/>
        <v>2196654.2660332643</v>
      </c>
      <c r="J32" s="18">
        <f t="shared" si="10"/>
        <v>2258361.2780619562</v>
      </c>
      <c r="K32" s="18">
        <f t="shared" si="11"/>
        <v>2297164.4113350068</v>
      </c>
      <c r="L32" s="19">
        <f t="shared" si="12"/>
        <v>2314871.5538698919</v>
      </c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10">
        <f t="shared" si="3"/>
        <v>91</v>
      </c>
      <c r="B33" s="7"/>
      <c r="C33" s="25">
        <f t="shared" si="1"/>
        <v>61296</v>
      </c>
      <c r="D33" s="17">
        <f t="shared" si="4"/>
        <v>1996657.4509151545</v>
      </c>
      <c r="E33" s="18">
        <f t="shared" si="5"/>
        <v>2073514.01879405</v>
      </c>
      <c r="F33" s="18">
        <f t="shared" si="6"/>
        <v>2131030.8177345581</v>
      </c>
      <c r="G33" s="18">
        <f t="shared" si="7"/>
        <v>2205914.9968380663</v>
      </c>
      <c r="H33" s="18">
        <f t="shared" si="8"/>
        <v>2292721.774073726</v>
      </c>
      <c r="I33" s="18">
        <f t="shared" si="9"/>
        <v>2355847.7793349274</v>
      </c>
      <c r="J33" s="18">
        <f t="shared" si="10"/>
        <v>2425789.005965054</v>
      </c>
      <c r="K33" s="18">
        <f t="shared" si="11"/>
        <v>2471681.1599017568</v>
      </c>
      <c r="L33" s="19">
        <f t="shared" si="12"/>
        <v>2495422.5235633864</v>
      </c>
      <c r="N33" s="23"/>
      <c r="O33" s="23"/>
      <c r="P33" s="1"/>
      <c r="Q33" s="1"/>
      <c r="R33" s="1"/>
      <c r="S33" s="1"/>
      <c r="T33" s="1"/>
      <c r="U33" s="1"/>
    </row>
    <row r="34" spans="1:21" x14ac:dyDescent="0.25">
      <c r="A34" s="10">
        <f t="shared" si="3"/>
        <v>92</v>
      </c>
      <c r="B34" s="7"/>
      <c r="C34" s="25">
        <f t="shared" si="1"/>
        <v>61296</v>
      </c>
      <c r="D34" s="17">
        <f t="shared" si="4"/>
        <v>2126542.8834609124</v>
      </c>
      <c r="E34" s="18">
        <f t="shared" si="5"/>
        <v>2210460.3197337524</v>
      </c>
      <c r="F34" s="18">
        <f t="shared" si="6"/>
        <v>2274070.9986212859</v>
      </c>
      <c r="G34" s="18">
        <f t="shared" si="7"/>
        <v>2356561.0346799698</v>
      </c>
      <c r="H34" s="18">
        <f t="shared" si="8"/>
        <v>2452213.4067774122</v>
      </c>
      <c r="I34" s="18">
        <f t="shared" si="9"/>
        <v>2523000.9683016739</v>
      </c>
      <c r="J34" s="18">
        <f t="shared" si="10"/>
        <v>2601588.1202633069</v>
      </c>
      <c r="K34" s="18">
        <f t="shared" si="11"/>
        <v>2654923.7458968447</v>
      </c>
      <c r="L34" s="19">
        <f t="shared" si="12"/>
        <v>2685001.0417415556</v>
      </c>
      <c r="N34" s="23"/>
      <c r="O34" s="23"/>
      <c r="P34" s="1"/>
      <c r="Q34" s="1"/>
      <c r="R34" s="1"/>
      <c r="S34" s="1"/>
      <c r="T34" s="1"/>
      <c r="U34" s="1"/>
    </row>
    <row r="35" spans="1:21" x14ac:dyDescent="0.25">
      <c r="A35" s="10">
        <f t="shared" si="3"/>
        <v>93</v>
      </c>
      <c r="B35" s="7"/>
      <c r="C35" s="25">
        <f t="shared" si="1"/>
        <v>61296</v>
      </c>
      <c r="D35" s="17">
        <f t="shared" si="4"/>
        <v>2262922.5876339581</v>
      </c>
      <c r="E35" s="18">
        <f t="shared" si="5"/>
        <v>2354253.93572044</v>
      </c>
      <c r="F35" s="18">
        <f t="shared" si="6"/>
        <v>2424263.1885523498</v>
      </c>
      <c r="G35" s="18">
        <f t="shared" si="7"/>
        <v>2514739.3744139685</v>
      </c>
      <c r="H35" s="18">
        <f t="shared" si="8"/>
        <v>2619679.6211162824</v>
      </c>
      <c r="I35" s="18">
        <f t="shared" si="9"/>
        <v>2698511.8167167576</v>
      </c>
      <c r="J35" s="18">
        <f t="shared" si="10"/>
        <v>2786177.1902764724</v>
      </c>
      <c r="K35" s="18">
        <f t="shared" si="11"/>
        <v>2847328.4611916868</v>
      </c>
      <c r="L35" s="19">
        <f t="shared" si="12"/>
        <v>2884058.4858286334</v>
      </c>
      <c r="N35" s="23"/>
      <c r="O35" s="23"/>
      <c r="P35" s="1"/>
      <c r="Q35" s="1"/>
      <c r="R35" s="1"/>
      <c r="S35" s="1"/>
      <c r="T35" s="1"/>
      <c r="U35" s="1"/>
    </row>
    <row r="36" spans="1:21" x14ac:dyDescent="0.25">
      <c r="A36" s="10">
        <f t="shared" si="3"/>
        <v>94</v>
      </c>
      <c r="B36" s="7"/>
      <c r="C36" s="25">
        <f t="shared" si="1"/>
        <v>61296</v>
      </c>
      <c r="D36" s="17">
        <f t="shared" si="4"/>
        <v>2406121.2770156562</v>
      </c>
      <c r="E36" s="18">
        <f t="shared" si="5"/>
        <v>2505237.2325064619</v>
      </c>
      <c r="F36" s="18">
        <f t="shared" si="6"/>
        <v>2581964.9879799671</v>
      </c>
      <c r="G36" s="18">
        <f t="shared" si="7"/>
        <v>2680826.631134667</v>
      </c>
      <c r="H36" s="18">
        <f t="shared" si="8"/>
        <v>2795519.1461720965</v>
      </c>
      <c r="I36" s="18">
        <f t="shared" si="9"/>
        <v>2882798.2075525955</v>
      </c>
      <c r="J36" s="18">
        <f t="shared" si="10"/>
        <v>2979995.7137902961</v>
      </c>
      <c r="K36" s="18">
        <f t="shared" si="11"/>
        <v>3049353.4122512708</v>
      </c>
      <c r="L36" s="19">
        <f t="shared" si="12"/>
        <v>3093068.8021200653</v>
      </c>
      <c r="N36" s="23"/>
      <c r="O36" s="23"/>
      <c r="P36" s="1"/>
      <c r="Q36" s="1"/>
      <c r="R36" s="1"/>
      <c r="S36" s="1"/>
      <c r="T36" s="1"/>
      <c r="U36" s="1"/>
    </row>
    <row r="37" spans="1:21" x14ac:dyDescent="0.25">
      <c r="A37" s="10">
        <f t="shared" si="3"/>
        <v>95</v>
      </c>
      <c r="B37" s="7"/>
      <c r="C37" s="25">
        <f t="shared" si="1"/>
        <v>61296</v>
      </c>
      <c r="D37" s="17">
        <f t="shared" si="4"/>
        <v>2556479.9008664391</v>
      </c>
      <c r="E37" s="18">
        <f t="shared" si="5"/>
        <v>2663769.6941317851</v>
      </c>
      <c r="F37" s="18">
        <f t="shared" si="6"/>
        <v>2747551.8773789653</v>
      </c>
      <c r="G37" s="18">
        <f t="shared" si="7"/>
        <v>2855218.2506914004</v>
      </c>
      <c r="H37" s="18">
        <f t="shared" si="8"/>
        <v>2980150.6474807011</v>
      </c>
      <c r="I37" s="18">
        <f t="shared" si="9"/>
        <v>3076298.9179302254</v>
      </c>
      <c r="J37" s="18">
        <f t="shared" si="10"/>
        <v>3183505.163479811</v>
      </c>
      <c r="K37" s="18">
        <f t="shared" si="11"/>
        <v>3261479.6108638342</v>
      </c>
      <c r="L37" s="19">
        <f t="shared" si="12"/>
        <v>3312529.6342260689</v>
      </c>
      <c r="N37" s="23"/>
      <c r="O37" s="23"/>
      <c r="P37" s="1"/>
      <c r="Q37" s="1"/>
      <c r="R37" s="1"/>
      <c r="S37" s="1"/>
      <c r="T37" s="1"/>
      <c r="U37" s="1"/>
    </row>
    <row r="38" spans="1:21" x14ac:dyDescent="0.25">
      <c r="A38" s="10">
        <f t="shared" si="3"/>
        <v>96</v>
      </c>
      <c r="B38" s="7"/>
      <c r="C38" s="25">
        <f t="shared" si="1"/>
        <v>61296</v>
      </c>
      <c r="D38" s="17">
        <f t="shared" si="4"/>
        <v>2714356.4559097611</v>
      </c>
      <c r="E38" s="18">
        <f t="shared" si="5"/>
        <v>2830228.7788383742</v>
      </c>
      <c r="F38" s="18">
        <f t="shared" si="6"/>
        <v>2921418.1112479134</v>
      </c>
      <c r="G38" s="18">
        <f t="shared" si="7"/>
        <v>3038329.4512259704</v>
      </c>
      <c r="H38" s="18">
        <f t="shared" si="8"/>
        <v>3174013.723854736</v>
      </c>
      <c r="I38" s="18">
        <f t="shared" si="9"/>
        <v>3279474.6638267366</v>
      </c>
      <c r="J38" s="18">
        <f t="shared" si="10"/>
        <v>3397190.0856538019</v>
      </c>
      <c r="K38" s="18">
        <f t="shared" si="11"/>
        <v>3484212.1194070256</v>
      </c>
      <c r="L38" s="19">
        <f t="shared" si="12"/>
        <v>3542963.5079373722</v>
      </c>
      <c r="N38" s="23"/>
      <c r="O38" s="23"/>
      <c r="P38" s="1"/>
      <c r="Q38" s="1"/>
      <c r="R38" s="1"/>
      <c r="S38" s="1"/>
      <c r="T38" s="1"/>
      <c r="U38" s="1"/>
    </row>
    <row r="39" spans="1:21" x14ac:dyDescent="0.25">
      <c r="A39" s="10">
        <f t="shared" si="3"/>
        <v>97</v>
      </c>
      <c r="B39" s="7"/>
      <c r="C39" s="25">
        <f t="shared" si="1"/>
        <v>61296</v>
      </c>
      <c r="D39" s="17">
        <f t="shared" si="4"/>
        <v>2880126.8387052496</v>
      </c>
      <c r="E39" s="18">
        <f t="shared" si="5"/>
        <v>3005010.8177802931</v>
      </c>
      <c r="F39" s="18">
        <f t="shared" si="6"/>
        <v>3103977.6568103088</v>
      </c>
      <c r="G39" s="18">
        <f t="shared" si="7"/>
        <v>3230596.211787269</v>
      </c>
      <c r="H39" s="18">
        <f t="shared" si="8"/>
        <v>3377569.9540474727</v>
      </c>
      <c r="I39" s="18">
        <f t="shared" si="9"/>
        <v>3492809.1970180734</v>
      </c>
      <c r="J39" s="18">
        <f t="shared" si="10"/>
        <v>3621559.2539364924</v>
      </c>
      <c r="K39" s="18">
        <f t="shared" si="11"/>
        <v>3718081.2533773766</v>
      </c>
      <c r="L39" s="19">
        <f t="shared" si="12"/>
        <v>3784919.0753342407</v>
      </c>
      <c r="N39" s="23"/>
      <c r="O39" s="23"/>
      <c r="P39" s="1"/>
      <c r="Q39" s="1"/>
      <c r="R39" s="1"/>
      <c r="S39" s="1"/>
      <c r="T39" s="1"/>
      <c r="U39" s="1"/>
    </row>
    <row r="40" spans="1:21" x14ac:dyDescent="0.25">
      <c r="A40" s="10">
        <f t="shared" si="3"/>
        <v>98</v>
      </c>
      <c r="B40" s="7"/>
      <c r="C40" s="25">
        <f t="shared" si="1"/>
        <v>61296</v>
      </c>
      <c r="D40" s="17">
        <f t="shared" si="4"/>
        <v>3054185.7406405122</v>
      </c>
      <c r="E40" s="18">
        <f t="shared" si="5"/>
        <v>3188531.9586693076</v>
      </c>
      <c r="F40" s="18">
        <f t="shared" si="6"/>
        <v>3295665.1796508241</v>
      </c>
      <c r="G40" s="18">
        <f t="shared" si="7"/>
        <v>3432476.3103766325</v>
      </c>
      <c r="H40" s="18">
        <f t="shared" si="8"/>
        <v>3591303.9957498461</v>
      </c>
      <c r="I40" s="18">
        <f t="shared" si="9"/>
        <v>3716810.4568689773</v>
      </c>
      <c r="J40" s="18">
        <f t="shared" si="10"/>
        <v>3857146.8806333169</v>
      </c>
      <c r="K40" s="18">
        <f t="shared" si="11"/>
        <v>3963643.8440462453</v>
      </c>
      <c r="L40" s="19">
        <f t="shared" si="12"/>
        <v>4038972.4211009527</v>
      </c>
      <c r="N40" s="23"/>
      <c r="O40" s="23"/>
      <c r="P40" s="1"/>
      <c r="Q40" s="1"/>
      <c r="R40" s="1"/>
      <c r="S40" s="1"/>
      <c r="T40" s="1"/>
      <c r="U40" s="1"/>
    </row>
    <row r="41" spans="1:21" x14ac:dyDescent="0.25">
      <c r="A41" s="10">
        <f t="shared" si="3"/>
        <v>99</v>
      </c>
      <c r="B41" s="7"/>
      <c r="C41" s="25">
        <f t="shared" si="1"/>
        <v>61296</v>
      </c>
      <c r="D41" s="17">
        <f t="shared" si="4"/>
        <v>3236947.5876725381</v>
      </c>
      <c r="E41" s="18">
        <f t="shared" si="5"/>
        <v>3381229.1566027729</v>
      </c>
      <c r="F41" s="18">
        <f t="shared" si="6"/>
        <v>3496937.0786333652</v>
      </c>
      <c r="G41" s="18">
        <f t="shared" si="7"/>
        <v>3644450.413895464</v>
      </c>
      <c r="H41" s="18">
        <f t="shared" si="8"/>
        <v>3815724.7395373383</v>
      </c>
      <c r="I41" s="18">
        <f t="shared" si="9"/>
        <v>3952011.779712426</v>
      </c>
      <c r="J41" s="18">
        <f t="shared" si="10"/>
        <v>4104513.8886649832</v>
      </c>
      <c r="K41" s="18">
        <f t="shared" si="11"/>
        <v>4221484.5642485572</v>
      </c>
      <c r="L41" s="19">
        <f t="shared" si="12"/>
        <v>4305728.4341560006</v>
      </c>
      <c r="N41" s="23"/>
      <c r="O41" s="23"/>
      <c r="P41" s="1"/>
      <c r="Q41" s="1"/>
      <c r="R41" s="1"/>
      <c r="S41" s="1"/>
      <c r="T41" s="1"/>
      <c r="U41" s="1"/>
    </row>
    <row r="42" spans="1:21" ht="15.75" thickBot="1" x14ac:dyDescent="0.3">
      <c r="A42" s="11">
        <f t="shared" si="3"/>
        <v>100</v>
      </c>
      <c r="B42" s="8"/>
      <c r="C42" s="26">
        <f t="shared" si="1"/>
        <v>61296</v>
      </c>
      <c r="D42" s="20">
        <f t="shared" si="4"/>
        <v>3428847.527056165</v>
      </c>
      <c r="E42" s="21">
        <f t="shared" si="5"/>
        <v>3583561.2144329115</v>
      </c>
      <c r="F42" s="21">
        <f t="shared" si="6"/>
        <v>3708272.5725650331</v>
      </c>
      <c r="G42" s="21">
        <f t="shared" si="7"/>
        <v>3867023.2225902374</v>
      </c>
      <c r="H42" s="21">
        <f t="shared" si="8"/>
        <v>4051366.5205142051</v>
      </c>
      <c r="I42" s="21">
        <f t="shared" si="9"/>
        <v>4198973.1686980473</v>
      </c>
      <c r="J42" s="21">
        <f t="shared" si="10"/>
        <v>4364249.2470982326</v>
      </c>
      <c r="K42" s="21">
        <f t="shared" si="11"/>
        <v>4492217.3204609854</v>
      </c>
      <c r="L42" s="22">
        <f t="shared" si="12"/>
        <v>4585822.2478638003</v>
      </c>
      <c r="N42" s="23"/>
      <c r="O42" s="23"/>
      <c r="P42" s="1"/>
      <c r="Q42" s="1"/>
      <c r="R42" s="1"/>
      <c r="S42" s="1"/>
      <c r="T42" s="1"/>
      <c r="U42" s="1"/>
    </row>
  </sheetData>
  <conditionalFormatting sqref="D4">
    <cfRule type="colorScale" priority="19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L42">
    <cfRule type="colorScale" priority="20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G42 H8:H42 I9:I42 J10:J42 K11:K42 L12:L42 E12:L41 E11:K11 E10:J10 E9:I9 E8:H8 D7:G7 D6:F6">
    <cfRule type="colorScale" priority="20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:I42 J10:J42 K11:K42 L12:L42 F12:L41 F11:K11 F10:J10 F9:I9 F8:H42 D7:G7">
    <cfRule type="colorScale" priority="20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:J42 K11:K42 L12:L42 G12:L41 G11:K11 G10:J10 G9:I42 D8:H8">
    <cfRule type="colorScale" priority="20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1:K42 L12:L42 H12:L41 H11:K11 H10:J42 D9:I9">
    <cfRule type="colorScale" priority="20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2:L42 I12:L41 I11:K42 D10:J10">
    <cfRule type="colorScale" priority="20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:L42 D11:K11">
    <cfRule type="colorScale" priority="20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L42">
    <cfRule type="colorScale" priority="20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2:L42 D12:L14">
    <cfRule type="colorScale" priority="20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20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20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20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20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20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20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20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20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L21">
    <cfRule type="colorScale" priority="20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L22">
    <cfRule type="colorScale" priority="20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L22">
    <cfRule type="colorScale" priority="20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L23">
    <cfRule type="colorScale" priority="20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L24">
    <cfRule type="colorScale" priority="20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L25">
    <cfRule type="colorScale" priority="20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L26">
    <cfRule type="colorScale" priority="20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L27">
    <cfRule type="colorScale" priority="20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42">
    <cfRule type="colorScale" priority="20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L28">
    <cfRule type="colorScale" priority="20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L29">
    <cfRule type="colorScale" priority="20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L30">
    <cfRule type="colorScale" priority="20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L31">
    <cfRule type="colorScale" priority="20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L32">
    <cfRule type="colorScale" priority="20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L33">
    <cfRule type="colorScale" priority="20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L34">
    <cfRule type="colorScale" priority="20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L35">
    <cfRule type="colorScale" priority="20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:L36">
    <cfRule type="colorScale" priority="20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L37">
    <cfRule type="colorScale" priority="19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L38">
    <cfRule type="colorScale" priority="19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:L39">
    <cfRule type="colorScale" priority="19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:L40">
    <cfRule type="colorScale" priority="19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:L41">
    <cfRule type="colorScale" priority="19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2:L42">
    <cfRule type="colorScale" priority="19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L42">
    <cfRule type="colorScale" priority="19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G42 H8:H42 I9:I42 J10:J42 K11:K42 L12:L42 E12:L41 E11:K11 E10:J10 E9:I9 E8:H8 D7:G7 D6:F6">
    <cfRule type="colorScale" priority="19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:I42 J10:J42 K11:K42 L12:L42 F12:L41 F11:K11 F10:J10 F9:I9 F8:H42 D7:G7">
    <cfRule type="colorScale" priority="19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:J42 K11:K42 L12:L42 H12:L41 H11:K11 H10:J10 H9:I42 D8:H8">
    <cfRule type="colorScale" priority="19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1:K42 L12:L42 H12:L41 H11:K11 H10:J42 D9:I9">
    <cfRule type="colorScale" priority="19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2:L42 I12:L41 I11:K42 D10:J10">
    <cfRule type="colorScale" priority="19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:L42 D11:K11">
    <cfRule type="colorScale" priority="19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 L12:L42">
    <cfRule type="colorScale" priority="19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19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19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19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 L12:L42">
    <cfRule type="colorScale" priority="19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 L12:L42">
    <cfRule type="colorScale" priority="19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 L12:L42">
    <cfRule type="colorScale" priority="19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19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19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19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19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19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19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19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19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19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19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L42">
    <cfRule type="colorScale" priority="19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9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9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1:L41">
    <cfRule type="colorScale" priority="19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:L40">
    <cfRule type="colorScale" priority="19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:L40">
    <cfRule type="colorScale" priority="19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39">
    <cfRule type="colorScale" priority="19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39">
    <cfRule type="colorScale" priority="19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39">
    <cfRule type="colorScale" priority="19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L38">
    <cfRule type="colorScale" priority="19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L37">
    <cfRule type="colorScale" priority="19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L37">
    <cfRule type="colorScale" priority="19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:L39">
    <cfRule type="colorScale" priority="19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:L39">
    <cfRule type="colorScale" priority="19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:L39">
    <cfRule type="colorScale" priority="19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:L36">
    <cfRule type="colorScale" priority="19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:L36">
    <cfRule type="colorScale" priority="19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:L36">
    <cfRule type="colorScale" priority="19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:L36">
    <cfRule type="colorScale" priority="19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L35">
    <cfRule type="colorScale" priority="19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L35">
    <cfRule type="colorScale" priority="18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L35">
    <cfRule type="colorScale" priority="18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L35">
    <cfRule type="colorScale" priority="18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L35">
    <cfRule type="colorScale" priority="18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L34">
    <cfRule type="colorScale" priority="18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L34">
    <cfRule type="colorScale" priority="18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L34">
    <cfRule type="colorScale" priority="18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L34">
    <cfRule type="colorScale" priority="18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L34">
    <cfRule type="colorScale" priority="18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L34">
    <cfRule type="colorScale" priority="18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L33">
    <cfRule type="colorScale" priority="18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L33">
    <cfRule type="colorScale" priority="18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L33">
    <cfRule type="colorScale" priority="18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L33">
    <cfRule type="colorScale" priority="18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L33">
    <cfRule type="colorScale" priority="18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L33">
    <cfRule type="colorScale" priority="18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L33">
    <cfRule type="colorScale" priority="18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7">
    <cfRule type="colorScale" priority="18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5">
    <cfRule type="colorScale" priority="18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5">
    <cfRule type="colorScale" priority="18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7">
    <cfRule type="colorScale" priority="18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5">
    <cfRule type="colorScale" priority="18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5">
    <cfRule type="colorScale" priority="18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5">
    <cfRule type="colorScale" priority="18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5">
    <cfRule type="colorScale" priority="18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5">
    <cfRule type="colorScale" priority="18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5">
    <cfRule type="colorScale" priority="18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5">
    <cfRule type="colorScale" priority="18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5">
    <cfRule type="colorScale" priority="18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5">
    <cfRule type="colorScale" priority="18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5">
    <cfRule type="colorScale" priority="18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8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8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8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7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7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7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7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7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7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7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7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7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7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7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7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7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7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7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7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7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7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7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7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7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7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L32">
    <cfRule type="colorScale" priority="17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L32">
    <cfRule type="colorScale" priority="17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L32">
    <cfRule type="colorScale" priority="17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L32">
    <cfRule type="colorScale" priority="17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L32">
    <cfRule type="colorScale" priority="17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L32">
    <cfRule type="colorScale" priority="17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L32">
    <cfRule type="colorScale" priority="17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L32">
    <cfRule type="colorScale" priority="17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L31">
    <cfRule type="colorScale" priority="17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L31">
    <cfRule type="colorScale" priority="17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L31">
    <cfRule type="colorScale" priority="17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L31">
    <cfRule type="colorScale" priority="17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L31">
    <cfRule type="colorScale" priority="16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L31">
    <cfRule type="colorScale" priority="16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L31">
    <cfRule type="colorScale" priority="16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L31">
    <cfRule type="colorScale" priority="16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L31">
    <cfRule type="colorScale" priority="16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L30">
    <cfRule type="colorScale" priority="16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L30">
    <cfRule type="colorScale" priority="16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L30">
    <cfRule type="colorScale" priority="16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L30">
    <cfRule type="colorScale" priority="16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L30">
    <cfRule type="colorScale" priority="16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L30">
    <cfRule type="colorScale" priority="16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L30">
    <cfRule type="colorScale" priority="16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L30">
    <cfRule type="colorScale" priority="16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L30">
    <cfRule type="colorScale" priority="16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L30">
    <cfRule type="colorScale" priority="16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L29">
    <cfRule type="colorScale" priority="16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L29">
    <cfRule type="colorScale" priority="16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L29">
    <cfRule type="colorScale" priority="16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L29">
    <cfRule type="colorScale" priority="16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L29">
    <cfRule type="colorScale" priority="16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L29">
    <cfRule type="colorScale" priority="16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L29">
    <cfRule type="colorScale" priority="16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L29">
    <cfRule type="colorScale" priority="16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L29">
    <cfRule type="colorScale" priority="16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L29">
    <cfRule type="colorScale" priority="16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L29">
    <cfRule type="colorScale" priority="16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L28">
    <cfRule type="colorScale" priority="16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L28">
    <cfRule type="colorScale" priority="16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L28">
    <cfRule type="colorScale" priority="16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L28">
    <cfRule type="colorScale" priority="16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L28">
    <cfRule type="colorScale" priority="16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L28">
    <cfRule type="colorScale" priority="16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L28">
    <cfRule type="colorScale" priority="16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L28">
    <cfRule type="colorScale" priority="16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L28">
    <cfRule type="colorScale" priority="15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L28">
    <cfRule type="colorScale" priority="15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L28">
    <cfRule type="colorScale" priority="15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L28">
    <cfRule type="colorScale" priority="15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L27">
    <cfRule type="colorScale" priority="15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L27">
    <cfRule type="colorScale" priority="15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L27">
    <cfRule type="colorScale" priority="15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L27">
    <cfRule type="colorScale" priority="15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L27">
    <cfRule type="colorScale" priority="15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L27">
    <cfRule type="colorScale" priority="15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L27">
    <cfRule type="colorScale" priority="15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L27">
    <cfRule type="colorScale" priority="15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L27">
    <cfRule type="colorScale" priority="15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L27">
    <cfRule type="colorScale" priority="15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L27">
    <cfRule type="colorScale" priority="15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L27">
    <cfRule type="colorScale" priority="15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L27">
    <cfRule type="colorScale" priority="15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L26">
    <cfRule type="colorScale" priority="15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L26">
    <cfRule type="colorScale" priority="15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L26">
    <cfRule type="colorScale" priority="15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L26">
    <cfRule type="colorScale" priority="15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L26">
    <cfRule type="colorScale" priority="15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L26">
    <cfRule type="colorScale" priority="15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L26">
    <cfRule type="colorScale" priority="15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L26">
    <cfRule type="colorScale" priority="15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L26">
    <cfRule type="colorScale" priority="15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L26">
    <cfRule type="colorScale" priority="15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L26">
    <cfRule type="colorScale" priority="15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L26">
    <cfRule type="colorScale" priority="15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L26">
    <cfRule type="colorScale" priority="15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L26">
    <cfRule type="colorScale" priority="15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L25">
    <cfRule type="colorScale" priority="15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L25">
    <cfRule type="colorScale" priority="15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L25">
    <cfRule type="colorScale" priority="14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L25">
    <cfRule type="colorScale" priority="14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L25">
    <cfRule type="colorScale" priority="14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L25">
    <cfRule type="colorScale" priority="14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L25">
    <cfRule type="colorScale" priority="14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L25">
    <cfRule type="colorScale" priority="14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L25">
    <cfRule type="colorScale" priority="14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L25">
    <cfRule type="colorScale" priority="14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L25">
    <cfRule type="colorScale" priority="14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L25">
    <cfRule type="colorScale" priority="14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L25">
    <cfRule type="colorScale" priority="14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L25">
    <cfRule type="colorScale" priority="14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L25">
    <cfRule type="colorScale" priority="14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L24">
    <cfRule type="colorScale" priority="14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L24">
    <cfRule type="colorScale" priority="14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L24">
    <cfRule type="colorScale" priority="14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L24">
    <cfRule type="colorScale" priority="14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L24">
    <cfRule type="colorScale" priority="14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L24">
    <cfRule type="colorScale" priority="14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L24">
    <cfRule type="colorScale" priority="14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L24">
    <cfRule type="colorScale" priority="14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L24">
    <cfRule type="colorScale" priority="14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L24">
    <cfRule type="colorScale" priority="14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L24">
    <cfRule type="colorScale" priority="14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L24">
    <cfRule type="colorScale" priority="14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L24">
    <cfRule type="colorScale" priority="14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L24">
    <cfRule type="colorScale" priority="14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L24">
    <cfRule type="colorScale" priority="14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L24">
    <cfRule type="colorScale" priority="14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L23">
    <cfRule type="colorScale" priority="14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L23">
    <cfRule type="colorScale" priority="14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L23">
    <cfRule type="colorScale" priority="14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L23">
    <cfRule type="colorScale" priority="14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L23">
    <cfRule type="colorScale" priority="13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L23">
    <cfRule type="colorScale" priority="13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L23">
    <cfRule type="colorScale" priority="13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L23">
    <cfRule type="colorScale" priority="13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L23">
    <cfRule type="colorScale" priority="13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L23">
    <cfRule type="colorScale" priority="13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L23">
    <cfRule type="colorScale" priority="13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L23">
    <cfRule type="colorScale" priority="13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L23">
    <cfRule type="colorScale" priority="13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L23">
    <cfRule type="colorScale" priority="13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L23">
    <cfRule type="colorScale" priority="13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L23">
    <cfRule type="colorScale" priority="13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L23">
    <cfRule type="colorScale" priority="13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L22">
    <cfRule type="colorScale" priority="13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L22">
    <cfRule type="colorScale" priority="13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L22">
    <cfRule type="colorScale" priority="13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L22">
    <cfRule type="colorScale" priority="13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L22">
    <cfRule type="colorScale" priority="13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L22">
    <cfRule type="colorScale" priority="13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L22">
    <cfRule type="colorScale" priority="13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L22">
    <cfRule type="colorScale" priority="13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L22">
    <cfRule type="colorScale" priority="13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L22">
    <cfRule type="colorScale" priority="13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L22">
    <cfRule type="colorScale" priority="13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L22">
    <cfRule type="colorScale" priority="13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L22">
    <cfRule type="colorScale" priority="13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L22">
    <cfRule type="colorScale" priority="13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L22">
    <cfRule type="colorScale" priority="13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L22">
    <cfRule type="colorScale" priority="13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L22">
    <cfRule type="colorScale" priority="13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L22">
    <cfRule type="colorScale" priority="13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L21">
    <cfRule type="colorScale" priority="13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L21">
    <cfRule type="colorScale" priority="13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L21">
    <cfRule type="colorScale" priority="13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L21">
    <cfRule type="colorScale" priority="12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L21">
    <cfRule type="colorScale" priority="12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L21">
    <cfRule type="colorScale" priority="12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L21">
    <cfRule type="colorScale" priority="12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L21">
    <cfRule type="colorScale" priority="12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L21">
    <cfRule type="colorScale" priority="12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L21">
    <cfRule type="colorScale" priority="12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L21">
    <cfRule type="colorScale" priority="12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L21">
    <cfRule type="colorScale" priority="12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L21">
    <cfRule type="colorScale" priority="12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L21">
    <cfRule type="colorScale" priority="12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L21">
    <cfRule type="colorScale" priority="12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L21">
    <cfRule type="colorScale" priority="12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L21">
    <cfRule type="colorScale" priority="12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L21">
    <cfRule type="colorScale" priority="12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L21">
    <cfRule type="colorScale" priority="12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12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12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12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12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12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12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12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12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12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12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12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12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12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12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12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12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12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12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12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11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L20">
    <cfRule type="colorScale" priority="11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L19">
    <cfRule type="colorScale" priority="11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1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1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1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1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1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1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1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1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1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1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1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0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0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0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0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0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0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0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0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0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L18">
    <cfRule type="colorScale" priority="10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L17">
    <cfRule type="colorScale" priority="10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10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10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10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10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10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10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9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9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9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9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9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9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9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9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9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9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9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9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9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9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9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9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9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9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L16">
    <cfRule type="colorScale" priority="9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9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9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9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9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9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9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9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9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9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9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9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9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9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9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9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9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9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9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9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8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8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8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8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8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8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L15">
    <cfRule type="colorScale" priority="8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L14">
    <cfRule type="colorScale" priority="8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8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8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8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8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8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8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8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8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8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8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8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8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8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L13">
    <cfRule type="colorScale" priority="7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7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6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6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6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6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6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6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6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6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6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6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6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6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6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6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L12">
    <cfRule type="colorScale" priority="6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6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5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5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5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5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5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5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5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5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5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5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5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5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5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5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5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4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4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4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4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4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4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4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4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4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4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J10"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4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3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3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3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3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3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3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3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I9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2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2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2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2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2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2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2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2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G7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F6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9faa6-9fe1-49b3-9a08-227a296b54a6}" enabled="1" method="Privileged" siteId="{66d73691-ea97-48b1-95d5-e94f0a46b87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Fitzgibbon, Patrick [USA]</dc:creator>
  <cp:lastModifiedBy>Patrick Fitzgibbon</cp:lastModifiedBy>
  <dcterms:created xsi:type="dcterms:W3CDTF">2025-11-26T17:26:27Z</dcterms:created>
  <dcterms:modified xsi:type="dcterms:W3CDTF">2026-01-18T04:22:08Z</dcterms:modified>
</cp:coreProperties>
</file>