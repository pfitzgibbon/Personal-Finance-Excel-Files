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tzg\Documents\Budgets\"/>
    </mc:Choice>
  </mc:AlternateContent>
  <xr:revisionPtr revIDLastSave="0" documentId="13_ncr:1_{3EB09A36-D37C-4732-AC01-22CB6E02EEA6}" xr6:coauthVersionLast="47" xr6:coauthVersionMax="47" xr10:uidLastSave="{00000000-0000-0000-0000-000000000000}"/>
  <bookViews>
    <workbookView xWindow="-120" yWindow="-120" windowWidth="29040" windowHeight="15720" xr2:uid="{F315D169-D613-49CD-AD56-E5CB9B00944B}"/>
  </bookViews>
  <sheets>
    <sheet name="Yearly" sheetId="2" r:id="rId1"/>
    <sheet name="Monthly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" i="2" l="1"/>
  <c r="I4" i="2"/>
  <c r="E3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4" i="4"/>
  <c r="F3" i="4"/>
  <c r="E1" i="2"/>
  <c r="P4" i="2"/>
  <c r="P5" i="2" s="1"/>
  <c r="P6" i="2" s="1"/>
  <c r="P7" i="2" s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H3" i="2" l="1"/>
  <c r="H4" i="2" s="1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4" i="4"/>
  <c r="A5" i="4"/>
  <c r="A6" i="4"/>
  <c r="A7" i="4"/>
  <c r="A8" i="4"/>
  <c r="A9" i="4"/>
  <c r="A10" i="4"/>
  <c r="A11" i="4"/>
  <c r="A12" i="4"/>
  <c r="A13" i="4"/>
  <c r="A14" i="4"/>
  <c r="A15" i="4"/>
  <c r="A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3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4" i="4"/>
  <c r="F3" i="2"/>
  <c r="F32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H1" i="4" l="1"/>
  <c r="D3" i="4"/>
  <c r="H5" i="2"/>
  <c r="U3" i="2"/>
  <c r="T4" i="2"/>
  <c r="T5" i="2" s="1"/>
  <c r="U5" i="2" s="1"/>
  <c r="E4" i="4" l="1"/>
  <c r="H6" i="2"/>
  <c r="C3" i="4"/>
  <c r="U4" i="2"/>
  <c r="T6" i="2"/>
  <c r="U6" i="2" s="1"/>
  <c r="H7" i="2" l="1"/>
  <c r="D4" i="4"/>
  <c r="E5" i="4" s="1"/>
  <c r="T7" i="2"/>
  <c r="U7" i="2" s="1"/>
  <c r="H8" i="2" l="1"/>
  <c r="C4" i="4"/>
  <c r="T8" i="2"/>
  <c r="H9" i="2" l="1"/>
  <c r="D5" i="4"/>
  <c r="T9" i="2"/>
  <c r="U8" i="2"/>
  <c r="E6" i="4" l="1"/>
  <c r="H10" i="2"/>
  <c r="C5" i="4"/>
  <c r="T10" i="2"/>
  <c r="U9" i="2"/>
  <c r="H11" i="2" l="1"/>
  <c r="D6" i="4"/>
  <c r="T11" i="2"/>
  <c r="U10" i="2"/>
  <c r="E7" i="4" l="1"/>
  <c r="H12" i="2"/>
  <c r="C6" i="4"/>
  <c r="T12" i="2"/>
  <c r="U11" i="2"/>
  <c r="H13" i="2" l="1"/>
  <c r="D7" i="4"/>
  <c r="U12" i="2"/>
  <c r="T13" i="2"/>
  <c r="E8" i="4" l="1"/>
  <c r="H14" i="2"/>
  <c r="C7" i="4"/>
  <c r="T14" i="2"/>
  <c r="U13" i="2"/>
  <c r="H15" i="2" l="1"/>
  <c r="D8" i="4"/>
  <c r="T15" i="2"/>
  <c r="U14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E9" i="4" l="1"/>
  <c r="H16" i="2"/>
  <c r="C8" i="4"/>
  <c r="T16" i="2"/>
  <c r="U15" i="2"/>
  <c r="H17" i="2" l="1"/>
  <c r="D9" i="4"/>
  <c r="T17" i="2"/>
  <c r="U16" i="2"/>
  <c r="E10" i="4" l="1"/>
  <c r="H18" i="2"/>
  <c r="C9" i="4"/>
  <c r="T18" i="2"/>
  <c r="U17" i="2"/>
  <c r="H19" i="2" l="1"/>
  <c r="D10" i="4"/>
  <c r="E11" i="4" s="1"/>
  <c r="T19" i="2"/>
  <c r="U18" i="2"/>
  <c r="H20" i="2" l="1"/>
  <c r="C10" i="4"/>
  <c r="T20" i="2"/>
  <c r="U19" i="2"/>
  <c r="H21" i="2" l="1"/>
  <c r="D11" i="4"/>
  <c r="E12" i="4" s="1"/>
  <c r="T21" i="2"/>
  <c r="U20" i="2"/>
  <c r="H22" i="2" l="1"/>
  <c r="C11" i="4"/>
  <c r="T22" i="2"/>
  <c r="U21" i="2"/>
  <c r="H23" i="2" l="1"/>
  <c r="D12" i="4"/>
  <c r="E13" i="4" s="1"/>
  <c r="T23" i="2"/>
  <c r="U22" i="2"/>
  <c r="H24" i="2" l="1"/>
  <c r="C12" i="4"/>
  <c r="T24" i="2"/>
  <c r="U23" i="2"/>
  <c r="H25" i="2" l="1"/>
  <c r="D13" i="4"/>
  <c r="E14" i="4" s="1"/>
  <c r="T25" i="2"/>
  <c r="U24" i="2"/>
  <c r="H26" i="2" l="1"/>
  <c r="C13" i="4"/>
  <c r="T26" i="2"/>
  <c r="U25" i="2"/>
  <c r="H27" i="2" l="1"/>
  <c r="D14" i="4"/>
  <c r="E15" i="4" s="1"/>
  <c r="T27" i="2"/>
  <c r="U26" i="2"/>
  <c r="H28" i="2" l="1"/>
  <c r="C14" i="4"/>
  <c r="T28" i="2"/>
  <c r="U27" i="2"/>
  <c r="H29" i="2" l="1"/>
  <c r="D15" i="4"/>
  <c r="E16" i="4" s="1"/>
  <c r="T29" i="2"/>
  <c r="U28" i="2"/>
  <c r="H30" i="2" l="1"/>
  <c r="C15" i="4"/>
  <c r="T30" i="2"/>
  <c r="U29" i="2"/>
  <c r="H31" i="2" l="1"/>
  <c r="D16" i="4"/>
  <c r="E17" i="4" s="1"/>
  <c r="T31" i="2"/>
  <c r="U30" i="2"/>
  <c r="H32" i="2" l="1"/>
  <c r="C16" i="4"/>
  <c r="T32" i="2"/>
  <c r="U31" i="2"/>
  <c r="D17" i="4" l="1"/>
  <c r="E18" i="4" s="1"/>
  <c r="U32" i="2"/>
  <c r="C17" i="4" l="1"/>
  <c r="D18" i="4" l="1"/>
  <c r="E19" i="4" s="1"/>
  <c r="C18" i="4" l="1"/>
  <c r="D19" i="4" l="1"/>
  <c r="E20" i="4" s="1"/>
  <c r="C19" i="4" l="1"/>
  <c r="D20" i="4" l="1"/>
  <c r="E21" i="4" s="1"/>
  <c r="C20" i="4" l="1"/>
  <c r="D21" i="4" l="1"/>
  <c r="E22" i="4" s="1"/>
  <c r="C21" i="4" l="1"/>
  <c r="D22" i="4" l="1"/>
  <c r="E23" i="4" s="1"/>
  <c r="C22" i="4" l="1"/>
  <c r="D23" i="4" l="1"/>
  <c r="E24" i="4" s="1"/>
  <c r="C23" i="4" l="1"/>
  <c r="D24" i="4" l="1"/>
  <c r="E25" i="4" s="1"/>
  <c r="C24" i="4" l="1"/>
  <c r="D25" i="4" l="1"/>
  <c r="E26" i="4" s="1"/>
  <c r="C25" i="4" l="1"/>
  <c r="D26" i="4" l="1"/>
  <c r="E27" i="4" s="1"/>
  <c r="C26" i="4" l="1"/>
  <c r="D27" i="4" l="1"/>
  <c r="E28" i="4" s="1"/>
  <c r="C27" i="4" l="1"/>
  <c r="D28" i="4" l="1"/>
  <c r="E29" i="4" s="1"/>
  <c r="C28" i="4" l="1"/>
  <c r="D29" i="4" l="1"/>
  <c r="E30" i="4" s="1"/>
  <c r="C29" i="4" l="1"/>
  <c r="D30" i="4" l="1"/>
  <c r="E31" i="4" s="1"/>
  <c r="C30" i="4" l="1"/>
  <c r="D31" i="4" l="1"/>
  <c r="E32" i="4" s="1"/>
  <c r="C31" i="4" l="1"/>
  <c r="D32" i="4" l="1"/>
  <c r="E33" i="4" s="1"/>
  <c r="D33" i="4" l="1"/>
  <c r="E34" i="4" s="1"/>
  <c r="C32" i="4"/>
  <c r="C33" i="4" l="1"/>
  <c r="D34" i="4"/>
  <c r="E35" i="4" s="1"/>
  <c r="C34" i="4" l="1"/>
  <c r="D35" i="4"/>
  <c r="E36" i="4" s="1"/>
  <c r="D36" i="4" l="1"/>
  <c r="E37" i="4" s="1"/>
  <c r="C35" i="4"/>
  <c r="C36" i="4" l="1"/>
  <c r="D37" i="4"/>
  <c r="E38" i="4" s="1"/>
  <c r="C37" i="4" l="1"/>
  <c r="D38" i="4"/>
  <c r="E39" i="4" s="1"/>
  <c r="C38" i="4" l="1"/>
  <c r="D39" i="4" l="1"/>
  <c r="E40" i="4" s="1"/>
  <c r="C39" i="4" l="1"/>
  <c r="D40" i="4"/>
  <c r="C40" i="4" l="1"/>
  <c r="E41" i="4"/>
  <c r="D41" i="4" s="1"/>
  <c r="E42" i="4" s="1"/>
  <c r="C41" i="4" l="1"/>
  <c r="D42" i="4"/>
  <c r="E43" i="4" s="1"/>
  <c r="C42" i="4" l="1"/>
  <c r="D43" i="4"/>
  <c r="C43" i="4" l="1"/>
  <c r="E44" i="4"/>
  <c r="D44" i="4" s="1"/>
  <c r="C44" i="4" l="1"/>
  <c r="E45" i="4"/>
  <c r="D45" i="4" s="1"/>
  <c r="E46" i="4" l="1"/>
  <c r="D46" i="4" s="1"/>
  <c r="C45" i="4"/>
  <c r="C46" i="4" l="1"/>
  <c r="E47" i="4"/>
  <c r="D47" i="4" s="1"/>
  <c r="E48" i="4" s="1"/>
  <c r="D48" i="4" l="1"/>
  <c r="E49" i="4" s="1"/>
  <c r="D49" i="4" s="1"/>
  <c r="E50" i="4" s="1"/>
  <c r="C47" i="4"/>
  <c r="C48" i="4" l="1"/>
  <c r="D50" i="4"/>
  <c r="E51" i="4" s="1"/>
  <c r="C49" i="4"/>
  <c r="C50" i="4" l="1"/>
  <c r="D51" i="4" l="1"/>
  <c r="E52" i="4" s="1"/>
  <c r="D52" i="4" l="1"/>
  <c r="E53" i="4" s="1"/>
  <c r="C51" i="4"/>
  <c r="C52" i="4" l="1"/>
  <c r="D53" i="4"/>
  <c r="E54" i="4" s="1"/>
  <c r="D54" i="4" l="1"/>
  <c r="C53" i="4"/>
  <c r="C54" i="4" l="1"/>
  <c r="E55" i="4"/>
  <c r="D55" i="4" s="1"/>
  <c r="E56" i="4" s="1"/>
  <c r="D56" i="4" l="1"/>
  <c r="E57" i="4" s="1"/>
  <c r="C55" i="4"/>
  <c r="C56" i="4" l="1"/>
  <c r="D57" i="4"/>
  <c r="E58" i="4" s="1"/>
  <c r="D58" i="4" l="1"/>
  <c r="E59" i="4" s="1"/>
  <c r="C57" i="4"/>
  <c r="C58" i="4" l="1"/>
  <c r="D59" i="4"/>
  <c r="E60" i="4" s="1"/>
  <c r="D60" i="4" l="1"/>
  <c r="E61" i="4" s="1"/>
  <c r="D61" i="4" s="1"/>
  <c r="E62" i="4" s="1"/>
  <c r="C59" i="4"/>
  <c r="C60" i="4" l="1"/>
  <c r="D62" i="4"/>
  <c r="E63" i="4" s="1"/>
  <c r="C61" i="4"/>
  <c r="C62" i="4" l="1"/>
  <c r="D63" i="4" l="1"/>
  <c r="E64" i="4" s="1"/>
  <c r="D64" i="4" l="1"/>
  <c r="E65" i="4" s="1"/>
  <c r="C63" i="4"/>
  <c r="C64" i="4" l="1"/>
  <c r="D65" i="4"/>
  <c r="E66" i="4" s="1"/>
  <c r="D66" i="4" l="1"/>
  <c r="E67" i="4" s="1"/>
  <c r="C65" i="4"/>
  <c r="C66" i="4" l="1"/>
  <c r="D67" i="4"/>
  <c r="E68" i="4" s="1"/>
  <c r="C67" i="4" l="1"/>
  <c r="D68" i="4"/>
  <c r="E69" i="4" s="1"/>
  <c r="C68" i="4" l="1"/>
  <c r="D69" i="4"/>
  <c r="E70" i="4" s="1"/>
  <c r="D70" i="4" l="1"/>
  <c r="E71" i="4" s="1"/>
  <c r="C69" i="4"/>
  <c r="C70" i="4" l="1"/>
  <c r="D71" i="4"/>
  <c r="E72" i="4" s="1"/>
  <c r="D72" i="4" l="1"/>
  <c r="E73" i="4" s="1"/>
  <c r="D73" i="4" s="1"/>
  <c r="E74" i="4" s="1"/>
  <c r="C71" i="4"/>
  <c r="C72" i="4" l="1"/>
  <c r="D74" i="4"/>
  <c r="E75" i="4" s="1"/>
  <c r="C73" i="4"/>
  <c r="C74" i="4" l="1"/>
  <c r="D75" i="4" l="1"/>
  <c r="E76" i="4" s="1"/>
  <c r="D76" i="4" l="1"/>
  <c r="E77" i="4" s="1"/>
  <c r="C75" i="4"/>
  <c r="C76" i="4" l="1"/>
  <c r="D77" i="4"/>
  <c r="E78" i="4" s="1"/>
  <c r="D78" i="4" l="1"/>
  <c r="E79" i="4" s="1"/>
  <c r="C77" i="4"/>
  <c r="C78" i="4" l="1"/>
  <c r="D79" i="4"/>
  <c r="E80" i="4" s="1"/>
  <c r="D80" i="4" l="1"/>
  <c r="C79" i="4"/>
  <c r="C80" i="4" l="1"/>
  <c r="E81" i="4"/>
  <c r="D81" i="4" s="1"/>
  <c r="E82" i="4" l="1"/>
  <c r="D82" i="4" s="1"/>
  <c r="C81" i="4"/>
  <c r="E83" i="4" l="1"/>
  <c r="D83" i="4" s="1"/>
  <c r="C82" i="4"/>
  <c r="C83" i="4" l="1"/>
  <c r="E84" i="4"/>
  <c r="D84" i="4" s="1"/>
  <c r="E85" i="4" l="1"/>
  <c r="D85" i="4" s="1"/>
  <c r="C84" i="4"/>
  <c r="C85" i="4" l="1"/>
  <c r="E86" i="4"/>
  <c r="D86" i="4" s="1"/>
  <c r="E87" i="4" l="1"/>
  <c r="D87" i="4" s="1"/>
  <c r="E88" i="4" s="1"/>
  <c r="C86" i="4"/>
  <c r="D88" i="4" l="1"/>
  <c r="E89" i="4" s="1"/>
  <c r="D89" i="4" s="1"/>
  <c r="E90" i="4" s="1"/>
  <c r="C87" i="4"/>
  <c r="C88" i="4" l="1"/>
  <c r="C89" i="4"/>
  <c r="D90" i="4" l="1"/>
  <c r="E91" i="4" s="1"/>
  <c r="D91" i="4" l="1"/>
  <c r="E92" i="4" s="1"/>
  <c r="C90" i="4"/>
  <c r="C91" i="4" l="1"/>
  <c r="D92" i="4"/>
  <c r="E93" i="4" s="1"/>
  <c r="D93" i="4" l="1"/>
  <c r="E94" i="4" s="1"/>
  <c r="D94" i="4" s="1"/>
  <c r="E95" i="4" s="1"/>
  <c r="C92" i="4"/>
  <c r="C93" i="4" l="1"/>
  <c r="D95" i="4"/>
  <c r="E96" i="4" s="1"/>
  <c r="C94" i="4"/>
  <c r="D96" i="4" l="1"/>
  <c r="E97" i="4" s="1"/>
  <c r="C95" i="4"/>
  <c r="D97" i="4" l="1"/>
  <c r="E98" i="4" s="1"/>
  <c r="C96" i="4"/>
  <c r="D98" i="4" l="1"/>
  <c r="E99" i="4" s="1"/>
  <c r="C97" i="4"/>
  <c r="C98" i="4" l="1"/>
  <c r="D99" i="4" l="1"/>
  <c r="E100" i="4" s="1"/>
  <c r="C99" i="4" l="1"/>
  <c r="D100" i="4"/>
  <c r="E101" i="4" s="1"/>
  <c r="C100" i="4" l="1"/>
  <c r="D101" i="4"/>
  <c r="E102" i="4" s="1"/>
  <c r="D102" i="4" l="1"/>
  <c r="E103" i="4" s="1"/>
  <c r="C101" i="4"/>
  <c r="C102" i="4" l="1"/>
  <c r="D103" i="4"/>
  <c r="E104" i="4" l="1"/>
  <c r="D104" i="4" s="1"/>
  <c r="C103" i="4"/>
  <c r="C104" i="4" l="1"/>
  <c r="E105" i="4"/>
  <c r="D105" i="4" s="1"/>
  <c r="E106" i="4" s="1"/>
  <c r="C105" i="4" l="1"/>
  <c r="D106" i="4"/>
  <c r="E107" i="4" s="1"/>
  <c r="C106" i="4" l="1"/>
  <c r="D107" i="4"/>
  <c r="E108" i="4" s="1"/>
  <c r="D108" i="4" s="1"/>
  <c r="E109" i="4" s="1"/>
  <c r="C107" i="4" l="1"/>
  <c r="D109" i="4"/>
  <c r="E110" i="4" s="1"/>
  <c r="C108" i="4"/>
  <c r="D110" i="4" l="1"/>
  <c r="E111" i="4" s="1"/>
  <c r="C109" i="4"/>
  <c r="C110" i="4" l="1"/>
  <c r="D111" i="4" l="1"/>
  <c r="E112" i="4" l="1"/>
  <c r="D112" i="4" s="1"/>
  <c r="C111" i="4"/>
  <c r="C112" i="4" l="1"/>
  <c r="E113" i="4"/>
  <c r="D113" i="4" s="1"/>
  <c r="E114" i="4" l="1"/>
  <c r="D114" i="4" s="1"/>
  <c r="C113" i="4"/>
  <c r="C114" i="4" l="1"/>
  <c r="E115" i="4"/>
  <c r="D115" i="4" s="1"/>
  <c r="E116" i="4" s="1"/>
  <c r="D116" i="4" l="1"/>
  <c r="E117" i="4" s="1"/>
  <c r="C115" i="4"/>
  <c r="C116" i="4" l="1"/>
  <c r="D117" i="4"/>
  <c r="E118" i="4" s="1"/>
  <c r="C117" i="4" l="1"/>
  <c r="D118" i="4"/>
  <c r="E119" i="4" s="1"/>
  <c r="C118" i="4" l="1"/>
  <c r="D119" i="4"/>
  <c r="E120" i="4" s="1"/>
  <c r="D120" i="4" l="1"/>
  <c r="C119" i="4"/>
  <c r="C120" i="4" l="1"/>
  <c r="E121" i="4"/>
  <c r="D121" i="4" s="1"/>
  <c r="E122" i="4" l="1"/>
  <c r="D122" i="4" s="1"/>
  <c r="C121" i="4"/>
  <c r="C122" i="4" l="1"/>
  <c r="E123" i="4"/>
  <c r="D123" i="4" s="1"/>
  <c r="C123" i="4" l="1"/>
  <c r="E124" i="4"/>
  <c r="D124" i="4" s="1"/>
  <c r="E125" i="4" s="1"/>
  <c r="C124" i="4" l="1"/>
  <c r="D125" i="4"/>
  <c r="E126" i="4" s="1"/>
  <c r="D126" i="4" s="1"/>
  <c r="E127" i="4" s="1"/>
  <c r="C125" i="4"/>
  <c r="C126" i="4" l="1"/>
  <c r="D127" i="4" l="1"/>
  <c r="E128" i="4" s="1"/>
  <c r="D128" i="4" l="1"/>
  <c r="C127" i="4"/>
  <c r="C128" i="4" l="1"/>
  <c r="E129" i="4"/>
  <c r="D129" i="4" s="1"/>
  <c r="E130" i="4" s="1"/>
  <c r="D130" i="4" l="1"/>
  <c r="E131" i="4" s="1"/>
  <c r="D131" i="4" s="1"/>
  <c r="E132" i="4" s="1"/>
  <c r="C129" i="4"/>
  <c r="C130" i="4" l="1"/>
  <c r="D132" i="4"/>
  <c r="E133" i="4" s="1"/>
  <c r="C131" i="4"/>
  <c r="D133" i="4" l="1"/>
  <c r="E134" i="4" s="1"/>
  <c r="C132" i="4"/>
  <c r="D134" i="4" l="1"/>
  <c r="E135" i="4" s="1"/>
  <c r="C133" i="4"/>
  <c r="C134" i="4" l="1"/>
  <c r="D135" i="4" l="1"/>
  <c r="E136" i="4" s="1"/>
  <c r="C135" i="4" l="1"/>
  <c r="D136" i="4"/>
  <c r="E137" i="4" s="1"/>
  <c r="C136" i="4" l="1"/>
  <c r="D137" i="4"/>
  <c r="E138" i="4" s="1"/>
  <c r="D138" i="4" l="1"/>
  <c r="C137" i="4"/>
  <c r="C138" i="4" l="1"/>
  <c r="E139" i="4"/>
  <c r="D139" i="4" s="1"/>
  <c r="E140" i="4" s="1"/>
  <c r="D140" i="4" l="1"/>
  <c r="E141" i="4" s="1"/>
  <c r="C139" i="4"/>
  <c r="C140" i="4" l="1"/>
  <c r="D141" i="4"/>
  <c r="E142" i="4" s="1"/>
  <c r="C141" i="4" l="1"/>
  <c r="D142" i="4"/>
  <c r="E143" i="4" s="1"/>
  <c r="C142" i="4" l="1"/>
  <c r="D143" i="4"/>
  <c r="E144" i="4" s="1"/>
  <c r="C143" i="4"/>
  <c r="D144" i="4" l="1"/>
  <c r="E145" i="4" s="1"/>
  <c r="D145" i="4" s="1"/>
  <c r="E146" i="4" s="1"/>
  <c r="C144" i="4" l="1"/>
  <c r="D146" i="4"/>
  <c r="E147" i="4" s="1"/>
  <c r="C145" i="4"/>
  <c r="C146" i="4" l="1"/>
  <c r="D147" i="4" l="1"/>
  <c r="E148" i="4" s="1"/>
  <c r="C147" i="4" l="1"/>
  <c r="D148" i="4"/>
  <c r="E149" i="4" s="1"/>
  <c r="C148" i="4" l="1"/>
  <c r="D149" i="4"/>
  <c r="E150" i="4" s="1"/>
  <c r="D150" i="4" l="1"/>
  <c r="E151" i="4" s="1"/>
  <c r="D151" i="4" s="1"/>
  <c r="E152" i="4" s="1"/>
  <c r="C149" i="4"/>
  <c r="C150" i="4" l="1"/>
  <c r="C151" i="4"/>
  <c r="D152" i="4" l="1"/>
  <c r="E153" i="4" s="1"/>
  <c r="C152" i="4"/>
  <c r="D153" i="4" l="1"/>
  <c r="E154" i="4" s="1"/>
  <c r="C153" i="4" l="1"/>
  <c r="D154" i="4"/>
  <c r="C154" i="4" l="1"/>
  <c r="E155" i="4"/>
  <c r="D155" i="4" s="1"/>
  <c r="E156" i="4" l="1"/>
  <c r="D156" i="4" s="1"/>
  <c r="C155" i="4"/>
  <c r="C156" i="4" l="1"/>
  <c r="E157" i="4"/>
  <c r="D157" i="4" s="1"/>
  <c r="E158" i="4" l="1"/>
  <c r="D158" i="4" s="1"/>
  <c r="C157" i="4"/>
  <c r="C158" i="4" l="1"/>
  <c r="C15" i="2"/>
  <c r="E159" i="4"/>
  <c r="D159" i="4" s="1"/>
  <c r="C159" i="4" l="1"/>
  <c r="E160" i="4"/>
  <c r="D160" i="4" s="1"/>
  <c r="E161" i="4" s="1"/>
  <c r="C160" i="4" l="1"/>
  <c r="D161" i="4"/>
  <c r="E162" i="4" s="1"/>
  <c r="D162" i="4" l="1"/>
  <c r="E163" i="4" s="1"/>
  <c r="C161" i="4"/>
  <c r="C162" i="4" l="1"/>
  <c r="D163" i="4"/>
  <c r="E164" i="4" s="1"/>
  <c r="C163" i="4" l="1"/>
  <c r="D164" i="4"/>
  <c r="E165" i="4" s="1"/>
  <c r="C164" i="4" l="1"/>
  <c r="D165" i="4"/>
  <c r="E166" i="4" s="1"/>
  <c r="D166" i="4" l="1"/>
  <c r="C165" i="4"/>
  <c r="C166" i="4" l="1"/>
  <c r="E167" i="4"/>
  <c r="D167" i="4" s="1"/>
  <c r="E168" i="4" l="1"/>
  <c r="D168" i="4" s="1"/>
  <c r="C167" i="4"/>
  <c r="E169" i="4" l="1"/>
  <c r="D169" i="4" s="1"/>
  <c r="C168" i="4"/>
  <c r="C169" i="4" l="1"/>
  <c r="E170" i="4"/>
  <c r="D170" i="4" s="1"/>
  <c r="E171" i="4" l="1"/>
  <c r="D171" i="4" s="1"/>
  <c r="E172" i="4" s="1"/>
  <c r="C170" i="4"/>
  <c r="D172" i="4" l="1"/>
  <c r="E173" i="4" s="1"/>
  <c r="C171" i="4"/>
  <c r="C172" i="4" l="1"/>
  <c r="D173" i="4"/>
  <c r="C173" i="4" l="1"/>
  <c r="E174" i="4"/>
  <c r="D174" i="4" s="1"/>
  <c r="E175" i="4" s="1"/>
  <c r="C174" i="4" l="1"/>
  <c r="D175" i="4"/>
  <c r="E176" i="4" s="1"/>
  <c r="C175" i="4" l="1"/>
  <c r="D176" i="4"/>
  <c r="E177" i="4" s="1"/>
  <c r="C176" i="4" l="1"/>
  <c r="D177" i="4"/>
  <c r="E178" i="4" s="1"/>
  <c r="D178" i="4" l="1"/>
  <c r="E179" i="4" s="1"/>
  <c r="C177" i="4"/>
  <c r="C178" i="4" l="1"/>
  <c r="D179" i="4"/>
  <c r="E180" i="4" s="1"/>
  <c r="D180" i="4" l="1"/>
  <c r="C179" i="4"/>
  <c r="C180" i="4" l="1"/>
  <c r="E181" i="4"/>
  <c r="D181" i="4" s="1"/>
  <c r="E182" i="4" s="1"/>
  <c r="D182" i="4" l="1"/>
  <c r="E183" i="4" s="1"/>
  <c r="C181" i="4"/>
  <c r="C182" i="4" l="1"/>
  <c r="D183" i="4"/>
  <c r="E184" i="4" s="1"/>
  <c r="D184" i="4" s="1"/>
  <c r="E185" i="4" s="1"/>
  <c r="C183" i="4" l="1"/>
  <c r="C184" i="4"/>
  <c r="D185" i="4" l="1"/>
  <c r="E186" i="4" s="1"/>
  <c r="C185" i="4" l="1"/>
  <c r="D186" i="4"/>
  <c r="E187" i="4" s="1"/>
  <c r="C186" i="4" l="1"/>
  <c r="D187" i="4"/>
  <c r="E188" i="4" s="1"/>
  <c r="C187" i="4" l="1"/>
  <c r="D188" i="4"/>
  <c r="E189" i="4" s="1"/>
  <c r="C188" i="4" l="1"/>
  <c r="D189" i="4"/>
  <c r="E190" i="4" s="1"/>
  <c r="D190" i="4" l="1"/>
  <c r="C189" i="4"/>
  <c r="C190" i="4" l="1"/>
  <c r="E191" i="4"/>
  <c r="D191" i="4" s="1"/>
  <c r="E192" i="4" s="1"/>
  <c r="C191" i="4" l="1"/>
  <c r="D192" i="4"/>
  <c r="E193" i="4" s="1"/>
  <c r="D193" i="4" s="1"/>
  <c r="E194" i="4" s="1"/>
  <c r="C192" i="4" l="1"/>
  <c r="D194" i="4"/>
  <c r="E195" i="4" s="1"/>
  <c r="C193" i="4"/>
  <c r="C194" i="4" l="1"/>
  <c r="D195" i="4" l="1"/>
  <c r="E196" i="4" s="1"/>
  <c r="C195" i="4" l="1"/>
  <c r="D196" i="4"/>
  <c r="C196" i="4" l="1"/>
  <c r="E197" i="4"/>
  <c r="D197" i="4" s="1"/>
  <c r="E198" i="4" s="1"/>
  <c r="C197" i="4" l="1"/>
  <c r="D198" i="4"/>
  <c r="E199" i="4" s="1"/>
  <c r="C198" i="4" l="1"/>
  <c r="D199" i="4"/>
  <c r="E200" i="4" s="1"/>
  <c r="D200" i="4" l="1"/>
  <c r="E201" i="4" s="1"/>
  <c r="C199" i="4"/>
  <c r="C200" i="4" l="1"/>
  <c r="D201" i="4"/>
  <c r="E202" i="4" s="1"/>
  <c r="C201" i="4" l="1"/>
  <c r="D202" i="4"/>
  <c r="C202" i="4" l="1"/>
  <c r="E203" i="4"/>
  <c r="D203" i="4" s="1"/>
  <c r="E204" i="4" s="1"/>
  <c r="C203" i="4" l="1"/>
  <c r="D204" i="4"/>
  <c r="E205" i="4" s="1"/>
  <c r="D205" i="4" s="1"/>
  <c r="E206" i="4" s="1"/>
  <c r="C204" i="4" l="1"/>
  <c r="D206" i="4"/>
  <c r="E207" i="4" s="1"/>
  <c r="C205" i="4"/>
  <c r="C206" i="4" l="1"/>
  <c r="D207" i="4" l="1"/>
  <c r="E208" i="4" s="1"/>
  <c r="C207" i="4" l="1"/>
  <c r="D208" i="4"/>
  <c r="E209" i="4" s="1"/>
  <c r="C208" i="4" l="1"/>
  <c r="D209" i="4"/>
  <c r="E210" i="4" s="1"/>
  <c r="D210" i="4" l="1"/>
  <c r="E211" i="4" s="1"/>
  <c r="C209" i="4"/>
  <c r="C210" i="4" l="1"/>
  <c r="D211" i="4"/>
  <c r="E212" i="4" s="1"/>
  <c r="D212" i="4" s="1"/>
  <c r="E213" i="4" s="1"/>
  <c r="C211" i="4" l="1"/>
  <c r="C212" i="4"/>
  <c r="D213" i="4" l="1"/>
  <c r="E214" i="4" s="1"/>
  <c r="D214" i="4" s="1"/>
  <c r="E215" i="4" s="1"/>
  <c r="C213" i="4" l="1"/>
  <c r="C214" i="4"/>
  <c r="D215" i="4" l="1"/>
  <c r="C215" i="4" l="1"/>
  <c r="E216" i="4"/>
  <c r="D216" i="4" s="1"/>
  <c r="E217" i="4" l="1"/>
  <c r="D217" i="4" s="1"/>
  <c r="C216" i="4"/>
  <c r="E218" i="4" l="1"/>
  <c r="D218" i="4" s="1"/>
  <c r="C217" i="4"/>
  <c r="E219" i="4" l="1"/>
  <c r="D219" i="4" s="1"/>
  <c r="C218" i="4"/>
  <c r="E220" i="4" l="1"/>
  <c r="D220" i="4" s="1"/>
  <c r="E221" i="4" s="1"/>
  <c r="C219" i="4"/>
  <c r="C220" i="4" l="1"/>
  <c r="D221" i="4"/>
  <c r="E222" i="4" s="1"/>
  <c r="D222" i="4" l="1"/>
  <c r="E223" i="4" s="1"/>
  <c r="C221" i="4"/>
  <c r="C222" i="4" l="1"/>
  <c r="D223" i="4"/>
  <c r="E224" i="4" s="1"/>
  <c r="D224" i="4" s="1"/>
  <c r="E225" i="4" s="1"/>
  <c r="C223" i="4" l="1"/>
  <c r="C224" i="4"/>
  <c r="D225" i="4" l="1"/>
  <c r="E226" i="4" s="1"/>
  <c r="D226" i="4" l="1"/>
  <c r="E227" i="4" s="1"/>
  <c r="C225" i="4"/>
  <c r="C226" i="4" l="1"/>
  <c r="D227" i="4"/>
  <c r="E228" i="4" s="1"/>
  <c r="D228" i="4" l="1"/>
  <c r="E229" i="4" s="1"/>
  <c r="D229" i="4" s="1"/>
  <c r="E230" i="4" s="1"/>
  <c r="C227" i="4"/>
  <c r="C228" i="4" l="1"/>
  <c r="D230" i="4"/>
  <c r="E231" i="4" s="1"/>
  <c r="C229" i="4"/>
  <c r="C230" i="4" l="1"/>
  <c r="D231" i="4" l="1"/>
  <c r="C231" i="4" l="1"/>
  <c r="E232" i="4"/>
  <c r="D232" i="4" s="1"/>
  <c r="E233" i="4" s="1"/>
  <c r="C232" i="4" l="1"/>
  <c r="D233" i="4"/>
  <c r="E234" i="4" s="1"/>
  <c r="D234" i="4" s="1"/>
  <c r="E235" i="4" s="1"/>
  <c r="C233" i="4" l="1"/>
  <c r="C234" i="4"/>
  <c r="D235" i="4" l="1"/>
  <c r="E236" i="4" s="1"/>
  <c r="D236" i="4" l="1"/>
  <c r="E237" i="4" s="1"/>
  <c r="C235" i="4"/>
  <c r="C236" i="4" l="1"/>
  <c r="D237" i="4"/>
  <c r="E238" i="4" s="1"/>
  <c r="D238" i="4" l="1"/>
  <c r="E239" i="4" s="1"/>
  <c r="C237" i="4"/>
  <c r="C238" i="4" l="1"/>
  <c r="D239" i="4"/>
  <c r="E240" i="4" l="1"/>
  <c r="D240" i="4" s="1"/>
  <c r="C239" i="4"/>
  <c r="E241" i="4" l="1"/>
  <c r="D241" i="4" s="1"/>
  <c r="E242" i="4" s="1"/>
  <c r="D242" i="4" s="1"/>
  <c r="E243" i="4" s="1"/>
  <c r="C240" i="4"/>
  <c r="C241" i="4"/>
  <c r="C242" i="4" l="1"/>
  <c r="D243" i="4" l="1"/>
  <c r="E244" i="4" s="1"/>
  <c r="D244" i="4" l="1"/>
  <c r="E245" i="4" s="1"/>
  <c r="C243" i="4"/>
  <c r="C244" i="4" l="1"/>
  <c r="D245" i="4"/>
  <c r="E246" i="4" s="1"/>
  <c r="C245" i="4"/>
  <c r="D246" i="4" l="1"/>
  <c r="E247" i="4" s="1"/>
  <c r="C246" i="4" l="1"/>
  <c r="D247" i="4"/>
  <c r="E248" i="4" s="1"/>
  <c r="D248" i="4" s="1"/>
  <c r="E249" i="4" s="1"/>
  <c r="C247" i="4" l="1"/>
  <c r="C248" i="4"/>
  <c r="D249" i="4" l="1"/>
  <c r="E250" i="4" s="1"/>
  <c r="D250" i="4" s="1"/>
  <c r="E251" i="4" s="1"/>
  <c r="C249" i="4" l="1"/>
  <c r="C250" i="4"/>
  <c r="D251" i="4" l="1"/>
  <c r="E252" i="4" s="1"/>
  <c r="D252" i="4" s="1"/>
  <c r="E253" i="4" s="1"/>
  <c r="C251" i="4" l="1"/>
  <c r="D253" i="4"/>
  <c r="E254" i="4" s="1"/>
  <c r="C252" i="4"/>
  <c r="D254" i="4" l="1"/>
  <c r="E255" i="4" s="1"/>
  <c r="C253" i="4"/>
  <c r="C254" i="4" l="1"/>
  <c r="D255" i="4" l="1"/>
  <c r="E256" i="4" s="1"/>
  <c r="C255" i="4"/>
  <c r="D256" i="4" l="1"/>
  <c r="E257" i="4" s="1"/>
  <c r="C256" i="4" l="1"/>
  <c r="D257" i="4"/>
  <c r="E258" i="4" l="1"/>
  <c r="D258" i="4" s="1"/>
  <c r="C257" i="4"/>
  <c r="E259" i="4" l="1"/>
  <c r="D259" i="4" s="1"/>
  <c r="E260" i="4" s="1"/>
  <c r="D260" i="4" s="1"/>
  <c r="E261" i="4" s="1"/>
  <c r="C258" i="4"/>
  <c r="C259" i="4" l="1"/>
  <c r="C260" i="4"/>
  <c r="D261" i="4" l="1"/>
  <c r="C261" i="4" l="1"/>
  <c r="E262" i="4"/>
  <c r="D262" i="4" s="1"/>
  <c r="C262" i="4" l="1"/>
  <c r="E263" i="4"/>
  <c r="D263" i="4" s="1"/>
  <c r="E264" i="4" s="1"/>
  <c r="D264" i="4" l="1"/>
  <c r="E265" i="4" s="1"/>
  <c r="D265" i="4" s="1"/>
  <c r="E266" i="4" s="1"/>
  <c r="C263" i="4"/>
  <c r="C264" i="4" l="1"/>
  <c r="D266" i="4"/>
  <c r="E267" i="4" s="1"/>
  <c r="C265" i="4"/>
  <c r="C266" i="4" l="1"/>
  <c r="D267" i="4" l="1"/>
  <c r="C267" i="4" l="1"/>
  <c r="E268" i="4"/>
  <c r="D268" i="4" s="1"/>
  <c r="E269" i="4" l="1"/>
  <c r="D269" i="4" s="1"/>
  <c r="C268" i="4"/>
  <c r="C269" i="4" l="1"/>
  <c r="E270" i="4"/>
  <c r="D270" i="4" s="1"/>
  <c r="E271" i="4" l="1"/>
  <c r="D271" i="4" s="1"/>
  <c r="E272" i="4" s="1"/>
  <c r="D272" i="4" s="1"/>
  <c r="E273" i="4" s="1"/>
  <c r="C270" i="4"/>
  <c r="C271" i="4" l="1"/>
  <c r="C272" i="4"/>
  <c r="D273" i="4" l="1"/>
  <c r="E274" i="4" s="1"/>
  <c r="D274" i="4" s="1"/>
  <c r="E275" i="4" s="1"/>
  <c r="C273" i="4" l="1"/>
  <c r="C274" i="4"/>
  <c r="D275" i="4" l="1"/>
  <c r="E276" i="4" l="1"/>
  <c r="D276" i="4" s="1"/>
  <c r="E277" i="4" s="1"/>
  <c r="C275" i="4"/>
  <c r="D277" i="4"/>
  <c r="E278" i="4" s="1"/>
  <c r="C276" i="4"/>
  <c r="D278" i="4" l="1"/>
  <c r="E279" i="4" s="1"/>
  <c r="C277" i="4"/>
  <c r="C278" i="4" l="1"/>
  <c r="D279" i="4" l="1"/>
  <c r="E280" i="4" s="1"/>
  <c r="D280" i="4" s="1"/>
  <c r="E281" i="4" s="1"/>
  <c r="C279" i="4" l="1"/>
  <c r="C280" i="4"/>
  <c r="D281" i="4" l="1"/>
  <c r="C281" i="4" l="1"/>
  <c r="E282" i="4"/>
  <c r="D282" i="4" s="1"/>
  <c r="E283" i="4" s="1"/>
  <c r="C282" i="4" l="1"/>
  <c r="D283" i="4"/>
  <c r="E284" i="4" s="1"/>
  <c r="D284" i="4" l="1"/>
  <c r="E285" i="4" s="1"/>
  <c r="C283" i="4"/>
  <c r="C284" i="4" l="1"/>
  <c r="D285" i="4"/>
  <c r="E286" i="4" s="1"/>
  <c r="D286" i="4" s="1"/>
  <c r="E287" i="4" s="1"/>
  <c r="C285" i="4"/>
  <c r="C286" i="4" l="1"/>
  <c r="D287" i="4" l="1"/>
  <c r="C287" i="4" l="1"/>
  <c r="E288" i="4"/>
  <c r="D288" i="4" s="1"/>
  <c r="E289" i="4" l="1"/>
  <c r="D289" i="4" s="1"/>
  <c r="C288" i="4"/>
  <c r="E290" i="4" l="1"/>
  <c r="D290" i="4" s="1"/>
  <c r="C289" i="4"/>
  <c r="E291" i="4" l="1"/>
  <c r="D291" i="4" s="1"/>
  <c r="C290" i="4"/>
  <c r="C291" i="4" l="1"/>
  <c r="E292" i="4"/>
  <c r="D292" i="4" s="1"/>
  <c r="E293" i="4" s="1"/>
  <c r="C292" i="4" l="1"/>
  <c r="D293" i="4"/>
  <c r="E294" i="4" s="1"/>
  <c r="C293" i="4"/>
  <c r="D294" i="4" l="1"/>
  <c r="E295" i="4" s="1"/>
  <c r="C294" i="4" l="1"/>
  <c r="D295" i="4"/>
  <c r="E296" i="4" s="1"/>
  <c r="D296" i="4" s="1"/>
  <c r="E297" i="4" s="1"/>
  <c r="C295" i="4"/>
  <c r="C296" i="4" l="1"/>
  <c r="D297" i="4" l="1"/>
  <c r="C297" i="4" l="1"/>
  <c r="E298" i="4"/>
  <c r="D298" i="4" s="1"/>
  <c r="E299" i="4" l="1"/>
  <c r="D299" i="4" s="1"/>
  <c r="C298" i="4"/>
  <c r="C299" i="4" l="1"/>
  <c r="E300" i="4"/>
  <c r="D300" i="4" s="1"/>
  <c r="E301" i="4" l="1"/>
  <c r="D301" i="4" s="1"/>
  <c r="C300" i="4"/>
  <c r="E302" i="4" l="1"/>
  <c r="D302" i="4" s="1"/>
  <c r="C301" i="4"/>
  <c r="E303" i="4" l="1"/>
  <c r="D303" i="4" s="1"/>
  <c r="C302" i="4"/>
  <c r="C303" i="4" l="1"/>
  <c r="E304" i="4"/>
  <c r="D304" i="4" s="1"/>
  <c r="E305" i="4" l="1"/>
  <c r="D305" i="4" s="1"/>
  <c r="C304" i="4"/>
  <c r="C305" i="4" l="1"/>
  <c r="E306" i="4"/>
  <c r="D306" i="4" s="1"/>
  <c r="E307" i="4" l="1"/>
  <c r="D307" i="4" s="1"/>
  <c r="C306" i="4"/>
  <c r="C307" i="4" l="1"/>
  <c r="E308" i="4"/>
  <c r="D308" i="4" s="1"/>
  <c r="E309" i="4" l="1"/>
  <c r="D309" i="4" s="1"/>
  <c r="E310" i="4" s="1"/>
  <c r="D310" i="4" s="1"/>
  <c r="E311" i="4" s="1"/>
  <c r="C308" i="4"/>
  <c r="C309" i="4" l="1"/>
  <c r="C310" i="4"/>
  <c r="D311" i="4" l="1"/>
  <c r="E312" i="4" l="1"/>
  <c r="D312" i="4" s="1"/>
  <c r="C311" i="4"/>
  <c r="E313" i="4" l="1"/>
  <c r="D313" i="4" s="1"/>
  <c r="C312" i="4"/>
  <c r="E314" i="4" l="1"/>
  <c r="D314" i="4" s="1"/>
  <c r="C313" i="4"/>
  <c r="E315" i="4" l="1"/>
  <c r="C314" i="4"/>
  <c r="D315" i="4"/>
  <c r="E316" i="4" s="1"/>
  <c r="D316" i="4" s="1"/>
  <c r="E317" i="4" s="1"/>
  <c r="C315" i="4"/>
  <c r="C316" i="4" l="1"/>
  <c r="D317" i="4" l="1"/>
  <c r="E318" i="4" s="1"/>
  <c r="D318" i="4" s="1"/>
  <c r="E319" i="4" s="1"/>
  <c r="C317" i="4"/>
  <c r="C318" i="4" l="1"/>
  <c r="D319" i="4" l="1"/>
  <c r="E320" i="4" s="1"/>
  <c r="C319" i="4"/>
  <c r="D320" i="4" l="1"/>
  <c r="E321" i="4" s="1"/>
  <c r="C320" i="4" l="1"/>
  <c r="D321" i="4"/>
  <c r="E322" i="4" s="1"/>
  <c r="D322" i="4" s="1"/>
  <c r="E323" i="4" s="1"/>
  <c r="C321" i="4"/>
  <c r="C322" i="4" l="1"/>
  <c r="D323" i="4" l="1"/>
  <c r="E324" i="4" l="1"/>
  <c r="D324" i="4" s="1"/>
  <c r="E325" i="4" s="1"/>
  <c r="C323" i="4"/>
  <c r="D325" i="4"/>
  <c r="E326" i="4" s="1"/>
  <c r="C324" i="4"/>
  <c r="D326" i="4" l="1"/>
  <c r="E327" i="4" s="1"/>
  <c r="C325" i="4"/>
  <c r="C326" i="4" l="1"/>
  <c r="D327" i="4" l="1"/>
  <c r="E328" i="4" s="1"/>
  <c r="D328" i="4" s="1"/>
  <c r="E329" i="4" s="1"/>
  <c r="C327" i="4"/>
  <c r="C328" i="4" l="1"/>
  <c r="D329" i="4" l="1"/>
  <c r="E330" i="4" s="1"/>
  <c r="D330" i="4" s="1"/>
  <c r="E331" i="4" s="1"/>
  <c r="C329" i="4" l="1"/>
  <c r="C330" i="4"/>
  <c r="D331" i="4" l="1"/>
  <c r="E332" i="4" s="1"/>
  <c r="D332" i="4" s="1"/>
  <c r="E333" i="4" s="1"/>
  <c r="C331" i="4"/>
  <c r="C332" i="4" l="1"/>
  <c r="D333" i="4" l="1"/>
  <c r="E334" i="4" l="1"/>
  <c r="D334" i="4" s="1"/>
  <c r="C333" i="4"/>
  <c r="E335" i="4" l="1"/>
  <c r="D335" i="4" s="1"/>
  <c r="C334" i="4"/>
  <c r="C335" i="4" l="1"/>
  <c r="E336" i="4"/>
  <c r="D336" i="4" s="1"/>
  <c r="E337" i="4" l="1"/>
  <c r="D337" i="4" s="1"/>
  <c r="C336" i="4"/>
  <c r="E338" i="4" l="1"/>
  <c r="D338" i="4" s="1"/>
  <c r="C337" i="4"/>
  <c r="E339" i="4" l="1"/>
  <c r="D339" i="4" s="1"/>
  <c r="C338" i="4"/>
  <c r="C339" i="4" l="1"/>
  <c r="E340" i="4"/>
  <c r="D340" i="4" s="1"/>
  <c r="E341" i="4" l="1"/>
  <c r="C340" i="4"/>
  <c r="D341" i="4"/>
  <c r="E342" i="4" l="1"/>
  <c r="D342" i="4" s="1"/>
  <c r="E343" i="4" s="1"/>
  <c r="C341" i="4"/>
  <c r="C342" i="4"/>
  <c r="D343" i="4" l="1"/>
  <c r="E344" i="4" l="1"/>
  <c r="D344" i="4" s="1"/>
  <c r="C343" i="4"/>
  <c r="E345" i="4" l="1"/>
  <c r="D345" i="4" s="1"/>
  <c r="C344" i="4"/>
  <c r="C345" i="4" l="1"/>
  <c r="E346" i="4"/>
  <c r="D346" i="4" s="1"/>
  <c r="E347" i="4" l="1"/>
  <c r="D347" i="4" s="1"/>
  <c r="E348" i="4" s="1"/>
  <c r="D348" i="4" s="1"/>
  <c r="E349" i="4" s="1"/>
  <c r="C346" i="4"/>
  <c r="C347" i="4" l="1"/>
  <c r="D349" i="4"/>
  <c r="E350" i="4" s="1"/>
  <c r="C348" i="4"/>
  <c r="D350" i="4" l="1"/>
  <c r="E351" i="4" s="1"/>
  <c r="C349" i="4"/>
  <c r="C350" i="4" l="1"/>
  <c r="D351" i="4" l="1"/>
  <c r="E352" i="4" l="1"/>
  <c r="D352" i="4" s="1"/>
  <c r="C351" i="4"/>
  <c r="E353" i="4" l="1"/>
  <c r="D353" i="4" s="1"/>
  <c r="E354" i="4" s="1"/>
  <c r="D354" i="4" s="1"/>
  <c r="E355" i="4" s="1"/>
  <c r="C352" i="4"/>
  <c r="C353" i="4" l="1"/>
  <c r="C354" i="4"/>
  <c r="D355" i="4" l="1"/>
  <c r="E356" i="4" l="1"/>
  <c r="D356" i="4" s="1"/>
  <c r="C355" i="4"/>
  <c r="E357" i="4" l="1"/>
  <c r="D357" i="4" s="1"/>
  <c r="C356" i="4"/>
  <c r="C357" i="4" l="1"/>
  <c r="E358" i="4"/>
  <c r="D358" i="4" s="1"/>
  <c r="E359" i="4" l="1"/>
  <c r="D359" i="4" s="1"/>
  <c r="C358" i="4"/>
  <c r="C359" i="4" l="1"/>
  <c r="E360" i="4"/>
  <c r="D360" i="4" s="1"/>
  <c r="E361" i="4" l="1"/>
  <c r="D361" i="4" s="1"/>
  <c r="C360" i="4"/>
  <c r="E362" i="4" l="1"/>
  <c r="C361" i="4"/>
  <c r="D362" i="4"/>
  <c r="C3" i="2" s="1"/>
  <c r="D3" i="2"/>
  <c r="Q3" i="2" s="1"/>
  <c r="R3" i="2" s="1"/>
  <c r="D4" i="2"/>
  <c r="Q4" i="2" s="1"/>
  <c r="D5" i="2"/>
  <c r="Q5" i="2" s="1"/>
  <c r="D6" i="2"/>
  <c r="Q6" i="2" s="1"/>
  <c r="D7" i="2"/>
  <c r="Q7" i="2" s="1"/>
  <c r="D8" i="2"/>
  <c r="Q8" i="2" s="1"/>
  <c r="D9" i="2"/>
  <c r="Q9" i="2" s="1"/>
  <c r="D10" i="2"/>
  <c r="Q10" i="2" s="1"/>
  <c r="D11" i="2"/>
  <c r="Q11" i="2" s="1"/>
  <c r="D12" i="2"/>
  <c r="Q12" i="2" s="1"/>
  <c r="D13" i="2"/>
  <c r="Q13" i="2" s="1"/>
  <c r="D14" i="2"/>
  <c r="Q14" i="2" s="1"/>
  <c r="D15" i="2"/>
  <c r="D16" i="2"/>
  <c r="Q16" i="2" s="1"/>
  <c r="D17" i="2"/>
  <c r="Q17" i="2" s="1"/>
  <c r="D18" i="2"/>
  <c r="Q18" i="2" s="1"/>
  <c r="D19" i="2"/>
  <c r="Q19" i="2" s="1"/>
  <c r="D20" i="2"/>
  <c r="Q20" i="2" s="1"/>
  <c r="D21" i="2"/>
  <c r="Q21" i="2" s="1"/>
  <c r="D22" i="2"/>
  <c r="Q22" i="2" s="1"/>
  <c r="D23" i="2"/>
  <c r="Q23" i="2" s="1"/>
  <c r="D24" i="2"/>
  <c r="Q24" i="2" s="1"/>
  <c r="D25" i="2"/>
  <c r="Q25" i="2" s="1"/>
  <c r="D26" i="2"/>
  <c r="Q26" i="2" s="1"/>
  <c r="D27" i="2"/>
  <c r="Q27" i="2" s="1"/>
  <c r="D28" i="2"/>
  <c r="Q28" i="2" s="1"/>
  <c r="D29" i="2"/>
  <c r="Q29" i="2" s="1"/>
  <c r="D30" i="2"/>
  <c r="Q30" i="2" s="1"/>
  <c r="D31" i="2"/>
  <c r="Q31" i="2" s="1"/>
  <c r="D32" i="2"/>
  <c r="Q32" i="2" s="1"/>
  <c r="E15" i="2" l="1"/>
  <c r="Q15" i="2"/>
  <c r="R4" i="2"/>
  <c r="C362" i="4"/>
  <c r="S3" i="2"/>
  <c r="C4" i="2"/>
  <c r="E4" i="2" s="1"/>
  <c r="G1" i="2" s="1"/>
  <c r="C5" i="2"/>
  <c r="E5" i="2" s="1"/>
  <c r="C6" i="2"/>
  <c r="E6" i="2" s="1"/>
  <c r="C7" i="2"/>
  <c r="E7" i="2" s="1"/>
  <c r="C8" i="2"/>
  <c r="E8" i="2" s="1"/>
  <c r="C9" i="2"/>
  <c r="E9" i="2" s="1"/>
  <c r="C10" i="2"/>
  <c r="E10" i="2" s="1"/>
  <c r="C11" i="2"/>
  <c r="E11" i="2" s="1"/>
  <c r="C12" i="2"/>
  <c r="E12" i="2" s="1"/>
  <c r="C13" i="2"/>
  <c r="E13" i="2" s="1"/>
  <c r="C14" i="2"/>
  <c r="E14" i="2" s="1"/>
  <c r="C16" i="2"/>
  <c r="E16" i="2" s="1"/>
  <c r="C17" i="2"/>
  <c r="E17" i="2" s="1"/>
  <c r="C18" i="2"/>
  <c r="E18" i="2" s="1"/>
  <c r="C19" i="2"/>
  <c r="E19" i="2" s="1"/>
  <c r="C20" i="2"/>
  <c r="E20" i="2" s="1"/>
  <c r="C21" i="2"/>
  <c r="E21" i="2" s="1"/>
  <c r="C22" i="2"/>
  <c r="E22" i="2" s="1"/>
  <c r="C23" i="2"/>
  <c r="E23" i="2" s="1"/>
  <c r="C24" i="2"/>
  <c r="E24" i="2" s="1"/>
  <c r="C25" i="2"/>
  <c r="E25" i="2" s="1"/>
  <c r="C26" i="2"/>
  <c r="E26" i="2" s="1"/>
  <c r="C27" i="2"/>
  <c r="E27" i="2" s="1"/>
  <c r="C28" i="2"/>
  <c r="E28" i="2" s="1"/>
  <c r="C29" i="2"/>
  <c r="E29" i="2" s="1"/>
  <c r="C30" i="2"/>
  <c r="E30" i="2" s="1"/>
  <c r="C31" i="2"/>
  <c r="E31" i="2" s="1"/>
  <c r="C32" i="2"/>
  <c r="E32" i="2" s="1"/>
  <c r="R5" i="2" l="1"/>
  <c r="S4" i="2"/>
  <c r="J31" i="2"/>
  <c r="J18" i="2"/>
  <c r="J26" i="2"/>
  <c r="J27" i="2"/>
  <c r="J3" i="2"/>
  <c r="J23" i="2"/>
  <c r="J25" i="2"/>
  <c r="J28" i="2"/>
  <c r="J6" i="2"/>
  <c r="J21" i="2"/>
  <c r="J29" i="2"/>
  <c r="J30" i="2"/>
  <c r="J24" i="2"/>
  <c r="J14" i="2"/>
  <c r="J7" i="2"/>
  <c r="J8" i="2"/>
  <c r="J5" i="2"/>
  <c r="J22" i="2"/>
  <c r="J32" i="2"/>
  <c r="J16" i="2"/>
  <c r="J13" i="2"/>
  <c r="J15" i="2"/>
  <c r="J20" i="2"/>
  <c r="J12" i="2"/>
  <c r="J9" i="2"/>
  <c r="J17" i="2"/>
  <c r="J11" i="2"/>
  <c r="J19" i="2"/>
  <c r="J4" i="2"/>
  <c r="J10" i="2"/>
  <c r="S5" i="2" l="1"/>
  <c r="R6" i="2"/>
  <c r="S6" i="2" l="1"/>
  <c r="R7" i="2"/>
  <c r="S7" i="2" l="1"/>
  <c r="R8" i="2"/>
  <c r="S8" i="2" l="1"/>
  <c r="R9" i="2"/>
  <c r="S9" i="2" l="1"/>
  <c r="R10" i="2"/>
  <c r="S10" i="2" l="1"/>
  <c r="R11" i="2"/>
  <c r="S11" i="2" l="1"/>
  <c r="R12" i="2"/>
  <c r="S12" i="2" l="1"/>
  <c r="R13" i="2"/>
  <c r="S13" i="2" l="1"/>
  <c r="R14" i="2"/>
  <c r="S14" i="2" l="1"/>
  <c r="R15" i="2"/>
  <c r="S15" i="2" l="1"/>
  <c r="R16" i="2"/>
  <c r="S16" i="2" l="1"/>
  <c r="R17" i="2"/>
  <c r="S17" i="2" l="1"/>
  <c r="R18" i="2"/>
  <c r="S18" i="2" l="1"/>
  <c r="R19" i="2"/>
  <c r="S19" i="2" l="1"/>
  <c r="R20" i="2"/>
  <c r="S20" i="2" l="1"/>
  <c r="R21" i="2"/>
  <c r="S21" i="2" l="1"/>
  <c r="R22" i="2"/>
  <c r="S22" i="2" l="1"/>
  <c r="R23" i="2"/>
  <c r="S23" i="2" l="1"/>
  <c r="R24" i="2"/>
  <c r="S24" i="2" l="1"/>
  <c r="R25" i="2"/>
  <c r="S25" i="2" l="1"/>
  <c r="R26" i="2"/>
  <c r="S26" i="2" l="1"/>
  <c r="R27" i="2"/>
  <c r="S27" i="2" l="1"/>
  <c r="R28" i="2"/>
  <c r="S28" i="2" l="1"/>
  <c r="R29" i="2"/>
  <c r="S29" i="2" l="1"/>
  <c r="R30" i="2"/>
  <c r="S30" i="2" l="1"/>
  <c r="R31" i="2"/>
  <c r="S31" i="2" l="1"/>
  <c r="R32" i="2"/>
  <c r="S32" i="2" s="1"/>
  <c r="K25" i="2" l="1"/>
  <c r="L25" i="2" s="1"/>
  <c r="K30" i="2"/>
  <c r="L30" i="2" s="1"/>
  <c r="K26" i="2"/>
  <c r="L26" i="2" s="1"/>
  <c r="K15" i="2"/>
  <c r="L15" i="2" s="1"/>
  <c r="K12" i="2"/>
  <c r="L12" i="2" s="1"/>
  <c r="K23" i="2"/>
  <c r="L23" i="2" s="1"/>
  <c r="K10" i="2"/>
  <c r="L10" i="2" s="1"/>
  <c r="K22" i="2"/>
  <c r="L22" i="2" s="1"/>
  <c r="K31" i="2"/>
  <c r="L31" i="2" s="1"/>
  <c r="K18" i="2"/>
  <c r="L18" i="2" s="1"/>
  <c r="K32" i="2"/>
  <c r="L32" i="2" s="1"/>
  <c r="K28" i="2"/>
  <c r="L28" i="2" s="1"/>
  <c r="K13" i="2"/>
  <c r="L13" i="2" s="1"/>
  <c r="K29" i="2"/>
  <c r="L29" i="2" s="1"/>
  <c r="K20" i="2"/>
  <c r="L20" i="2" s="1"/>
  <c r="K16" i="2"/>
  <c r="L16" i="2" s="1"/>
  <c r="K9" i="2"/>
  <c r="L9" i="2" s="1"/>
  <c r="K27" i="2"/>
  <c r="L27" i="2" s="1"/>
  <c r="K8" i="2"/>
  <c r="L8" i="2" s="1"/>
  <c r="K5" i="2"/>
  <c r="L5" i="2" s="1"/>
  <c r="K21" i="2"/>
  <c r="L21" i="2" s="1"/>
  <c r="K14" i="2"/>
  <c r="L14" i="2" s="1"/>
  <c r="K17" i="2"/>
  <c r="L17" i="2" s="1"/>
  <c r="K3" i="2"/>
  <c r="L3" i="2" s="1"/>
  <c r="K19" i="2"/>
  <c r="L19" i="2" s="1"/>
  <c r="K24" i="2"/>
  <c r="L24" i="2" s="1"/>
  <c r="K7" i="2"/>
  <c r="L7" i="2" s="1"/>
  <c r="K6" i="2"/>
  <c r="L6" i="2" s="1"/>
  <c r="K4" i="2"/>
  <c r="L4" i="2" s="1"/>
  <c r="K11" i="2"/>
  <c r="L11" i="2" s="1"/>
  <c r="M17" i="2"/>
  <c r="N17" i="2" s="1"/>
  <c r="B27" i="2"/>
  <c r="B28" i="2"/>
  <c r="M11" i="2"/>
  <c r="N11" i="2" s="1"/>
  <c r="M5" i="2"/>
  <c r="N5" i="2" s="1"/>
  <c r="M9" i="2"/>
  <c r="N9" i="2" s="1"/>
  <c r="M23" i="2"/>
  <c r="N23" i="2" s="1"/>
  <c r="M10" i="2"/>
  <c r="N10" i="2" s="1"/>
  <c r="M7" i="2"/>
  <c r="N7" i="2" s="1"/>
  <c r="B13" i="2"/>
  <c r="M21" i="2"/>
  <c r="N21" i="2" s="1"/>
  <c r="M20" i="2"/>
  <c r="N20" i="2" s="1"/>
  <c r="B9" i="2"/>
  <c r="B32" i="2"/>
  <c r="M13" i="2"/>
  <c r="N13" i="2" s="1"/>
  <c r="M29" i="2"/>
  <c r="N29" i="2" s="1"/>
  <c r="M25" i="2"/>
  <c r="N25" i="2" s="1"/>
  <c r="M18" i="2"/>
  <c r="N18" i="2" s="1"/>
  <c r="M4" i="2"/>
  <c r="N4" i="2" s="1"/>
  <c r="B4" i="2"/>
  <c r="B12" i="2"/>
  <c r="B14" i="2"/>
  <c r="B3" i="2"/>
  <c r="B6" i="2"/>
  <c r="B17" i="2"/>
  <c r="M26" i="2"/>
  <c r="N26" i="2" s="1"/>
  <c r="M19" i="2"/>
  <c r="N19" i="2" s="1"/>
  <c r="B30" i="2"/>
  <c r="M6" i="2"/>
  <c r="N6" i="2" s="1"/>
  <c r="B19" i="2"/>
  <c r="M27" i="2"/>
  <c r="N27" i="2" s="1"/>
  <c r="M31" i="2"/>
  <c r="N31" i="2" s="1"/>
  <c r="B26" i="2"/>
  <c r="B10" i="2"/>
  <c r="M24" i="2"/>
  <c r="N24" i="2" s="1"/>
  <c r="B21" i="2"/>
  <c r="M8" i="2"/>
  <c r="N8" i="2" s="1"/>
  <c r="B15" i="2"/>
  <c r="B8" i="2"/>
  <c r="M16" i="2"/>
  <c r="N16" i="2" s="1"/>
  <c r="B18" i="2"/>
  <c r="B23" i="2"/>
  <c r="M30" i="2"/>
  <c r="N30" i="2" s="1"/>
  <c r="M22" i="2"/>
  <c r="N22" i="2" s="1"/>
  <c r="B24" i="2"/>
  <c r="B31" i="2"/>
  <c r="B29" i="2"/>
  <c r="M15" i="2"/>
  <c r="N15" i="2" s="1"/>
  <c r="M14" i="2"/>
  <c r="N14" i="2" s="1"/>
  <c r="M32" i="2"/>
  <c r="N32" i="2" s="1"/>
  <c r="M28" i="2"/>
  <c r="N28" i="2" s="1"/>
  <c r="B20" i="2"/>
  <c r="B25" i="2"/>
  <c r="B11" i="2"/>
  <c r="M3" i="2"/>
  <c r="N3" i="2" s="1"/>
  <c r="B5" i="2"/>
  <c r="B22" i="2"/>
  <c r="B7" i="2"/>
  <c r="B16" i="2"/>
  <c r="E3" i="2"/>
  <c r="M12" i="2"/>
  <c r="N12" i="2" s="1"/>
</calcChain>
</file>

<file path=xl/sharedStrings.xml><?xml version="1.0" encoding="utf-8"?>
<sst xmlns="http://schemas.openxmlformats.org/spreadsheetml/2006/main" count="35" uniqueCount="24">
  <si>
    <t>Principal</t>
  </si>
  <si>
    <t>Sold Price</t>
  </si>
  <si>
    <t>Interest Rate</t>
  </si>
  <si>
    <t>Cumulative Return %</t>
  </si>
  <si>
    <t>Interest</t>
  </si>
  <si>
    <t>Monthly Rent</t>
  </si>
  <si>
    <t>Yearly Rent</t>
  </si>
  <si>
    <t>Total Yearly Payment</t>
  </si>
  <si>
    <t>% Equity in Home</t>
  </si>
  <si>
    <t>Sold: Money Walk Away with</t>
  </si>
  <si>
    <t>Sold: Profit</t>
  </si>
  <si>
    <t>Sold: Profit if Renting after 5 years</t>
  </si>
  <si>
    <t>Year</t>
  </si>
  <si>
    <t>Taxes, HOA Fees, Insurance, Etc</t>
  </si>
  <si>
    <t>Monthly Cost:</t>
  </si>
  <si>
    <t>Down Payment:</t>
  </si>
  <si>
    <t>Home Price:</t>
  </si>
  <si>
    <t>Tax Savings</t>
  </si>
  <si>
    <t>Yearly Cost of Home Minus Rent</t>
  </si>
  <si>
    <t>Return Based on Principal</t>
  </si>
  <si>
    <t>Cumulative Profit</t>
  </si>
  <si>
    <t>Total Monthly Payment</t>
  </si>
  <si>
    <t>Month</t>
  </si>
  <si>
    <t>Total Monthly Cost: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</si>
</sst>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164" fontId="0" fillId="0" borderId="0" xfId="0" applyNumberFormat="1"/>
    <xf numFmtId="44" fontId="0" fillId="0" borderId="0" xfId="1" applyFont="1"/>
    <xf numFmtId="44" fontId="0" fillId="0" borderId="0" xfId="0" applyNumberFormat="1"/>
    <xf numFmtId="0" fontId="0" fillId="0" borderId="9" xfId="0" applyBorder="1"/>
    <xf numFmtId="0" fontId="0" fillId="0" borderId="10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44" fontId="0" fillId="0" borderId="4" xfId="1" applyFont="1" applyBorder="1"/>
    <xf numFmtId="44" fontId="0" fillId="0" borderId="0" xfId="1" applyFont="1" applyBorder="1"/>
    <xf numFmtId="0" fontId="0" fillId="0" borderId="0" xfId="0" applyAlignment="1">
      <alignment wrapText="1"/>
    </xf>
    <xf numFmtId="44" fontId="0" fillId="0" borderId="2" xfId="1" applyFont="1" applyBorder="1"/>
    <xf numFmtId="44" fontId="0" fillId="0" borderId="11" xfId="0" applyNumberFormat="1" applyBorder="1"/>
    <xf numFmtId="0" fontId="0" fillId="0" borderId="12" xfId="0" applyBorder="1"/>
    <xf numFmtId="164" fontId="0" fillId="0" borderId="0" xfId="1" applyNumberFormat="1" applyFont="1"/>
    <xf numFmtId="9" fontId="0" fillId="0" borderId="0" xfId="2" applyFont="1"/>
    <xf numFmtId="10" fontId="0" fillId="0" borderId="0" xfId="2" applyNumberFormat="1" applyFont="1"/>
    <xf numFmtId="6" fontId="2" fillId="2" borderId="14" xfId="0" applyNumberFormat="1" applyFont="1" applyFill="1" applyBorder="1" applyAlignment="1">
      <alignment horizontal="right" vertical="center" wrapText="1"/>
    </xf>
    <xf numFmtId="0" fontId="0" fillId="0" borderId="8" xfId="0" applyBorder="1"/>
    <xf numFmtId="17" fontId="0" fillId="0" borderId="0" xfId="2" applyNumberFormat="1" applyFont="1"/>
    <xf numFmtId="0" fontId="3" fillId="0" borderId="6" xfId="0" applyFont="1" applyBorder="1"/>
    <xf numFmtId="44" fontId="0" fillId="0" borderId="11" xfId="1" applyFont="1" applyBorder="1"/>
    <xf numFmtId="0" fontId="3" fillId="0" borderId="1" xfId="0" applyFont="1" applyBorder="1"/>
    <xf numFmtId="0" fontId="3" fillId="0" borderId="15" xfId="0" applyFont="1" applyBorder="1" applyAlignment="1">
      <alignment wrapText="1"/>
    </xf>
    <xf numFmtId="0" fontId="3" fillId="0" borderId="15" xfId="0" applyFont="1" applyBorder="1"/>
    <xf numFmtId="0" fontId="3" fillId="0" borderId="11" xfId="0" applyFont="1" applyBorder="1"/>
    <xf numFmtId="9" fontId="3" fillId="0" borderId="11" xfId="2" applyFont="1" applyBorder="1"/>
    <xf numFmtId="164" fontId="0" fillId="0" borderId="7" xfId="1" applyNumberFormat="1" applyFont="1" applyBorder="1"/>
    <xf numFmtId="164" fontId="0" fillId="0" borderId="0" xfId="1" applyNumberFormat="1" applyFont="1" applyBorder="1"/>
    <xf numFmtId="10" fontId="0" fillId="0" borderId="8" xfId="2" applyNumberFormat="1" applyFont="1" applyBorder="1"/>
    <xf numFmtId="164" fontId="0" fillId="0" borderId="3" xfId="1" applyNumberFormat="1" applyFont="1" applyBorder="1"/>
    <xf numFmtId="164" fontId="0" fillId="0" borderId="4" xfId="1" applyNumberFormat="1" applyFont="1" applyBorder="1"/>
    <xf numFmtId="10" fontId="0" fillId="0" borderId="5" xfId="2" applyNumberFormat="1" applyFont="1" applyBorder="1"/>
    <xf numFmtId="10" fontId="0" fillId="0" borderId="0" xfId="2" applyNumberFormat="1" applyFont="1" applyBorder="1"/>
    <xf numFmtId="10" fontId="0" fillId="0" borderId="4" xfId="2" applyNumberFormat="1" applyFont="1" applyBorder="1"/>
    <xf numFmtId="0" fontId="3" fillId="0" borderId="6" xfId="0" applyFont="1" applyBorder="1" applyAlignment="1">
      <alignment horizontal="right"/>
    </xf>
    <xf numFmtId="9" fontId="0" fillId="0" borderId="11" xfId="2" applyFont="1" applyBorder="1"/>
    <xf numFmtId="0" fontId="3" fillId="0" borderId="1" xfId="0" applyFont="1" applyBorder="1" applyAlignment="1">
      <alignment horizontal="right"/>
    </xf>
    <xf numFmtId="0" fontId="3" fillId="0" borderId="13" xfId="0" applyFont="1" applyBorder="1"/>
    <xf numFmtId="0" fontId="3" fillId="0" borderId="11" xfId="0" applyFont="1" applyBorder="1" applyAlignment="1">
      <alignment wrapText="1"/>
    </xf>
    <xf numFmtId="164" fontId="0" fillId="0" borderId="1" xfId="0" applyNumberFormat="1" applyBorder="1"/>
    <xf numFmtId="164" fontId="0" fillId="0" borderId="2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164" fontId="0" fillId="0" borderId="3" xfId="0" applyNumberFormat="1" applyBorder="1"/>
    <xf numFmtId="164" fontId="0" fillId="0" borderId="5" xfId="0" applyNumberFormat="1" applyBorder="1"/>
    <xf numFmtId="0" fontId="3" fillId="0" borderId="6" xfId="0" applyFont="1" applyBorder="1" applyAlignment="1">
      <alignment wrapText="1"/>
    </xf>
    <xf numFmtId="9" fontId="3" fillId="0" borderId="0" xfId="2" applyFont="1" applyBorder="1"/>
    <xf numFmtId="0" fontId="0" fillId="0" borderId="0" xfId="0" applyBorder="1"/>
    <xf numFmtId="0" fontId="0" fillId="0" borderId="4" xfId="0" applyBorder="1"/>
    <xf numFmtId="0" fontId="3" fillId="0" borderId="4" xfId="0" applyFont="1" applyBorder="1" applyAlignment="1">
      <alignment wrapText="1"/>
    </xf>
    <xf numFmtId="0" fontId="3" fillId="0" borderId="4" xfId="0" applyFont="1" applyBorder="1"/>
    <xf numFmtId="44" fontId="0" fillId="0" borderId="0" xfId="1" applyNumberFormat="1" applyFont="1" applyBorder="1"/>
    <xf numFmtId="0" fontId="3" fillId="0" borderId="0" xfId="0" applyFont="1" applyAlignment="1">
      <alignment horizontal="right"/>
    </xf>
    <xf numFmtId="9" fontId="3" fillId="0" borderId="11" xfId="2" applyFont="1" applyBorder="1" applyAlignment="1">
      <alignment wrapText="1"/>
    </xf>
  </cellXfs>
  <cellStyles count="3">
    <cellStyle name="Currency" xfId="1" builtinId="4"/>
    <cellStyle name="Normal" xfId="0" builtinId="0"/>
    <cellStyle name="Percent" xfId="2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AD6C2"/>
      <color rgb="FFF6BC94"/>
      <color rgb="FFF29886"/>
      <color rgb="FFA2B9E2"/>
      <color rgb="FFF2B300"/>
      <color rgb="FF669E40"/>
      <color rgb="FF4C7731"/>
      <color rgb="FFFB6B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CF730-210E-4910-9849-98741D3CF157}">
  <dimension ref="A1:U43"/>
  <sheetViews>
    <sheetView tabSelected="1" workbookViewId="0">
      <pane xSplit="1" topLeftCell="B1" activePane="topRight" state="frozen"/>
      <selection pane="topRight" activeCell="E8" sqref="E8"/>
    </sheetView>
  </sheetViews>
  <sheetFormatPr defaultRowHeight="15" x14ac:dyDescent="0.25"/>
  <cols>
    <col min="1" max="1" width="11.140625" bestFit="1" customWidth="1"/>
    <col min="2" max="2" width="13.140625" customWidth="1"/>
    <col min="3" max="3" width="12.28515625" customWidth="1"/>
    <col min="4" max="4" width="17.85546875" bestFit="1" customWidth="1"/>
    <col min="5" max="6" width="17.85546875" customWidth="1"/>
    <col min="7" max="7" width="14.140625" bestFit="1" customWidth="1"/>
    <col min="8" max="8" width="14.7109375" customWidth="1"/>
    <col min="9" max="9" width="14.28515625" bestFit="1" customWidth="1"/>
    <col min="10" max="10" width="16.140625" customWidth="1"/>
    <col min="11" max="11" width="14.28515625" bestFit="1" customWidth="1"/>
    <col min="12" max="12" width="14.28515625" customWidth="1"/>
    <col min="13" max="13" width="17.5703125" customWidth="1"/>
    <col min="14" max="14" width="19.85546875" style="16" bestFit="1" customWidth="1"/>
    <col min="15" max="15" width="19.85546875" style="16" customWidth="1"/>
    <col min="17" max="17" width="25.42578125" customWidth="1"/>
    <col min="18" max="18" width="16.85546875" customWidth="1"/>
    <col min="19" max="19" width="11.85546875" bestFit="1" customWidth="1"/>
    <col min="20" max="20" width="10.140625" bestFit="1" customWidth="1"/>
    <col min="21" max="21" width="11.140625" bestFit="1" customWidth="1"/>
  </cols>
  <sheetData>
    <row r="1" spans="1:21" ht="15.75" thickBot="1" x14ac:dyDescent="0.3">
      <c r="A1" s="23"/>
      <c r="B1" s="38" t="s">
        <v>16</v>
      </c>
      <c r="C1" s="12">
        <f>Monthly!D1</f>
        <v>850000</v>
      </c>
      <c r="D1" s="36" t="s">
        <v>15</v>
      </c>
      <c r="E1" s="37">
        <f>Monthly!F1</f>
        <v>0.2</v>
      </c>
      <c r="F1" s="36" t="s">
        <v>14</v>
      </c>
      <c r="G1" s="13">
        <f>((SUM(E4:F4)/12))</f>
        <v>6172.5149683475756</v>
      </c>
    </row>
    <row r="2" spans="1:21" ht="45.75" thickBot="1" x14ac:dyDescent="0.3">
      <c r="A2" s="39" t="s">
        <v>12</v>
      </c>
      <c r="B2" s="24" t="s">
        <v>8</v>
      </c>
      <c r="C2" s="25" t="s">
        <v>0</v>
      </c>
      <c r="D2" s="25" t="s">
        <v>4</v>
      </c>
      <c r="E2" s="24" t="s">
        <v>7</v>
      </c>
      <c r="F2" s="24" t="s">
        <v>13</v>
      </c>
      <c r="G2" s="25" t="s">
        <v>17</v>
      </c>
      <c r="H2" s="26" t="s">
        <v>2</v>
      </c>
      <c r="I2" s="21" t="s">
        <v>1</v>
      </c>
      <c r="J2" s="24" t="s">
        <v>9</v>
      </c>
      <c r="K2" s="25" t="s">
        <v>10</v>
      </c>
      <c r="L2" s="55" t="s">
        <v>3</v>
      </c>
      <c r="M2" s="24" t="s">
        <v>11</v>
      </c>
      <c r="N2" s="27" t="s">
        <v>3</v>
      </c>
      <c r="O2" s="48"/>
      <c r="P2" s="39" t="s">
        <v>12</v>
      </c>
      <c r="Q2" s="47" t="s">
        <v>18</v>
      </c>
      <c r="R2" s="24" t="s">
        <v>20</v>
      </c>
      <c r="S2" s="40" t="s">
        <v>19</v>
      </c>
      <c r="T2" s="24" t="s">
        <v>5</v>
      </c>
      <c r="U2" s="40" t="s">
        <v>6</v>
      </c>
    </row>
    <row r="3" spans="1:21" x14ac:dyDescent="0.25">
      <c r="A3" s="14">
        <v>1</v>
      </c>
      <c r="B3" s="34">
        <f>SUM(C$3:C3)/C$1</f>
        <v>0.20928649328465534</v>
      </c>
      <c r="C3" s="10">
        <f>SUMIF(Monthly!A$3:A$362, Yearly!A3, Monthly!D$3:D$362)</f>
        <v>177893.51929195705</v>
      </c>
      <c r="D3" s="10">
        <f>SUMIF(Monthly!A$3:A$362, Yearly!A3, Monthly!E$3:E$362)</f>
        <v>42614.66032821386</v>
      </c>
      <c r="E3" s="10">
        <f>SUM(C3:D3)</f>
        <v>220508.17962017091</v>
      </c>
      <c r="F3" s="10">
        <f>(9800+11262+2500)</f>
        <v>23562</v>
      </c>
      <c r="G3" s="10"/>
      <c r="H3" s="19">
        <f>Monthly!I3</f>
        <v>6.3E-2</v>
      </c>
      <c r="I3" s="28">
        <v>1020141.39762154</v>
      </c>
      <c r="J3" s="29">
        <f>I3-SUM(D$3:D3)-SUM(F$3:F3)-SUM(C4:C$32)+G3</f>
        <v>281858.2565852697</v>
      </c>
      <c r="K3" s="29">
        <f>I3-SUM(D$3:D3)-SUM(F$3:F3)-SUM(C$3:C$32)+SUM(G$3:G3)</f>
        <v>103964.73729331268</v>
      </c>
      <c r="L3" s="30">
        <f>K3/(SUM(C$3:D3)+SUM(F$3:F3)-SUM(G$3:G3))</f>
        <v>0.4259624729866861</v>
      </c>
      <c r="M3" s="29">
        <f>I3-SUM(D$3:D3)-SUM(F$3:F3)-SUM(C$3:C$32)+SUM(G$3:G3)</f>
        <v>103964.73729331268</v>
      </c>
      <c r="N3" s="30">
        <f>M3/(SUM(C$3:D3)+SUM(F$3:F3)-SUM(G$3:G3))</f>
        <v>0.4259624729866861</v>
      </c>
      <c r="O3" s="34"/>
      <c r="P3" s="14">
        <v>1</v>
      </c>
      <c r="Q3" s="28">
        <f>-1*(SUM(D3)+F3-G3-U3)</f>
        <v>-24176.660328213853</v>
      </c>
      <c r="R3" s="29">
        <f>Q3</f>
        <v>-24176.660328213853</v>
      </c>
      <c r="S3" s="30">
        <f>SUM(R3)/SUM(C$3:C3)</f>
        <v>-0.13590523378502262</v>
      </c>
      <c r="T3" s="41">
        <v>3500</v>
      </c>
      <c r="U3" s="42">
        <f>T3*12</f>
        <v>42000</v>
      </c>
    </row>
    <row r="4" spans="1:21" x14ac:dyDescent="0.25">
      <c r="A4" s="4">
        <f>A3+1</f>
        <v>2</v>
      </c>
      <c r="B4" s="34">
        <f>SUM(C$3:C4)/C$1</f>
        <v>0.21917522809262699</v>
      </c>
      <c r="C4" s="10">
        <f>SUMIF(Monthly!A$3:A$362, Yearly!A4, Monthly!D$3:D$362)</f>
        <v>8405.4245867758818</v>
      </c>
      <c r="D4" s="10">
        <f>SUMIF(Monthly!A$3:A$362, Yearly!A4, Monthly!E$3:E$362)</f>
        <v>42102.755033395028</v>
      </c>
      <c r="E4" s="10">
        <f>SUM(C4:D4)</f>
        <v>50508.179620170908</v>
      </c>
      <c r="F4" s="10">
        <f t="shared" ref="F4:F32" si="0">(9800+11262+2500)</f>
        <v>23562</v>
      </c>
      <c r="G4" s="10"/>
      <c r="H4" s="19">
        <f>H3</f>
        <v>6.3E-2</v>
      </c>
      <c r="I4" s="28">
        <f>(I3*0.05)+I3</f>
        <v>1071148.467502617</v>
      </c>
      <c r="J4" s="29">
        <f>I4-SUM(D$3:D4)-SUM(F$3:F4)-SUM(C5:C$32)+G4</f>
        <v>275605.99601972767</v>
      </c>
      <c r="K4" s="29">
        <f>I4-SUM(D$3:D4)-SUM(F$3:F4)-SUM(C$3:C$32)+SUM(G$3:G4)</f>
        <v>89307.052140994696</v>
      </c>
      <c r="L4" s="30">
        <f>K4/(SUM(C$3:D4)+SUM(F$3:F4)-SUM(G$3:G4))</f>
        <v>0.28071588387667257</v>
      </c>
      <c r="M4" s="29">
        <f>I4-SUM(D$3:D4)-SUM(F$3:F4)-SUM(C$3:C$32)+SUM(G$3:G4)</f>
        <v>89307.052140994696</v>
      </c>
      <c r="N4" s="30">
        <f>M4/(SUM(C$3:D4)+SUM(F$3:F4)-SUM(G$3:G4))</f>
        <v>0.28071588387667257</v>
      </c>
      <c r="O4" s="34"/>
      <c r="P4" s="4">
        <f>P3+1</f>
        <v>2</v>
      </c>
      <c r="Q4" s="28">
        <f>-1*(SUM(D4)+F4-G4-U4)</f>
        <v>-22404.75503339502</v>
      </c>
      <c r="R4" s="29">
        <f>(R3+Q4)</f>
        <v>-46581.415361608873</v>
      </c>
      <c r="S4" s="30">
        <f>SUM(R4)/SUM(C$3:C4)</f>
        <v>-0.25003585308529708</v>
      </c>
      <c r="T4" s="43">
        <f t="shared" ref="T4:T32" si="1">T3+(T3*0.03)</f>
        <v>3605</v>
      </c>
      <c r="U4" s="44">
        <f t="shared" ref="U4:U32" si="2">T4*12</f>
        <v>43260</v>
      </c>
    </row>
    <row r="5" spans="1:21" x14ac:dyDescent="0.25">
      <c r="A5" s="4">
        <f t="shared" ref="A5:A31" si="3">A4+1</f>
        <v>3</v>
      </c>
      <c r="B5" s="34">
        <f>SUM(C$3:C5)/C$1</f>
        <v>0.22970526059305094</v>
      </c>
      <c r="C5" s="10">
        <f>SUMIF(Monthly!A$3:A$362, Yearly!A5, Monthly!D$3:D$362)</f>
        <v>8950.5276253603624</v>
      </c>
      <c r="D5" s="10">
        <f>SUMIF(Monthly!A$3:A$362, Yearly!A5, Monthly!E$3:E$362)</f>
        <v>41557.651994810542</v>
      </c>
      <c r="E5" s="10">
        <f t="shared" ref="E5:E32" si="4">SUM(C5:D5)</f>
        <v>50508.179620170908</v>
      </c>
      <c r="F5" s="10">
        <f t="shared" si="0"/>
        <v>23562</v>
      </c>
      <c r="G5" s="10"/>
      <c r="H5" s="19">
        <f t="shared" ref="H5:H32" si="5">H4</f>
        <v>6.3E-2</v>
      </c>
      <c r="I5" s="28">
        <v>1198602.6661721948</v>
      </c>
      <c r="J5" s="29">
        <f>I5-SUM(D$3:D5)-SUM(F$3:F5)-SUM(C6:C$32)+G5</f>
        <v>346891.07031985512</v>
      </c>
      <c r="K5" s="29">
        <f>I5-SUM(D$3:D5)-SUM(F$3:F5)-SUM(C$3:C$32)+SUM(G$3:G5)</f>
        <v>151641.59881576174</v>
      </c>
      <c r="L5" s="30">
        <f>K5/(SUM(C$3:D5)+SUM(F$3:F5)-SUM(G$3:G5))</f>
        <v>0.38663315691701017</v>
      </c>
      <c r="M5" s="29">
        <f>I5-SUM(D$3:D5)-SUM(F$3:F5)-SUM(C$3:C$32)+SUM(G$3:G5)</f>
        <v>151641.59881576174</v>
      </c>
      <c r="N5" s="30">
        <f>M5/(SUM(C$3:D5)+SUM(F$3:F5)-SUM(G$3:G5))</f>
        <v>0.38663315691701017</v>
      </c>
      <c r="O5" s="34"/>
      <c r="P5" s="4">
        <f t="shared" ref="P5:P31" si="6">P4+1</f>
        <v>3</v>
      </c>
      <c r="Q5" s="28">
        <f>-1*(SUM(D5)+F5-G5-U5)</f>
        <v>-20561.851994810539</v>
      </c>
      <c r="R5" s="29">
        <f t="shared" ref="R5:R32" si="7">(R4+Q5)</f>
        <v>-67143.267356419412</v>
      </c>
      <c r="S5" s="30">
        <f>SUM(R5)/SUM(C$3:C5)</f>
        <v>-0.34388450242238833</v>
      </c>
      <c r="T5" s="43">
        <f t="shared" si="1"/>
        <v>3713.15</v>
      </c>
      <c r="U5" s="44">
        <f t="shared" si="2"/>
        <v>44557.8</v>
      </c>
    </row>
    <row r="6" spans="1:21" x14ac:dyDescent="0.25">
      <c r="A6" s="4">
        <f t="shared" si="3"/>
        <v>4</v>
      </c>
      <c r="B6" s="34">
        <f>SUM(C$3:C6)/C$1</f>
        <v>0.24091817979992455</v>
      </c>
      <c r="C6" s="10">
        <f>SUMIF(Monthly!A$3:A$362, Yearly!A6, Monthly!D$3:D$362)</f>
        <v>9530.9813258425784</v>
      </c>
      <c r="D6" s="10">
        <f>SUMIF(Monthly!A$3:A$362, Yearly!A6, Monthly!E$3:E$362)</f>
        <v>40977.198294328329</v>
      </c>
      <c r="E6" s="10">
        <f t="shared" si="4"/>
        <v>50508.179620170908</v>
      </c>
      <c r="F6" s="10">
        <f t="shared" si="0"/>
        <v>23562</v>
      </c>
      <c r="G6" s="10"/>
      <c r="H6" s="19">
        <f t="shared" si="5"/>
        <v>6.3E-2</v>
      </c>
      <c r="I6" s="28">
        <v>1242373.0110399902</v>
      </c>
      <c r="J6" s="29">
        <f>I6-SUM(D$3:D6)-SUM(F$3:F6)-SUM(C7:C$32)+G6</f>
        <v>335653.19821916486</v>
      </c>
      <c r="K6" s="29">
        <f>I6-SUM(D$3:D6)-SUM(F$3:F6)-SUM(C$3:C$32)+SUM(G$3:G6)</f>
        <v>130872.74538922892</v>
      </c>
      <c r="L6" s="30">
        <f>K6/(SUM(C$3:D6)+SUM(F$3:F6)-SUM(G$3:G6))</f>
        <v>0.28067372336488866</v>
      </c>
      <c r="M6" s="29">
        <f>I6-SUM(D$3:D6)-SUM(F$3:F6)-SUM(C$3:C$32)+SUM(G$3:G6)</f>
        <v>130872.74538922892</v>
      </c>
      <c r="N6" s="30">
        <f>M6/(SUM(C$3:D6)+SUM(F$3:F6)-SUM(G$3:G6))</f>
        <v>0.28067372336488866</v>
      </c>
      <c r="O6" s="34"/>
      <c r="P6" s="4">
        <f t="shared" si="6"/>
        <v>4</v>
      </c>
      <c r="Q6" s="28">
        <f>-1*(SUM(D6)+F6-G6-U6)</f>
        <v>-18644.66429432833</v>
      </c>
      <c r="R6" s="29">
        <f t="shared" si="7"/>
        <v>-85787.931650747749</v>
      </c>
      <c r="S6" s="30">
        <f>SUM(R6)/SUM(C$3:C6)</f>
        <v>-0.41892636951043416</v>
      </c>
      <c r="T6" s="43">
        <f t="shared" si="1"/>
        <v>3824.5445</v>
      </c>
      <c r="U6" s="44">
        <f t="shared" si="2"/>
        <v>45894.534</v>
      </c>
    </row>
    <row r="7" spans="1:21" x14ac:dyDescent="0.25">
      <c r="A7" s="4">
        <f t="shared" si="3"/>
        <v>5</v>
      </c>
      <c r="B7" s="34">
        <f>SUM(C$3:C7)/C$1</f>
        <v>0.25285827183048698</v>
      </c>
      <c r="C7" s="10">
        <f>SUMIF(Monthly!A$3:A$362, Yearly!A7, Monthly!D$3:D$362)</f>
        <v>10149.078225978061</v>
      </c>
      <c r="D7" s="10">
        <f>SUMIF(Monthly!A$3:A$362, Yearly!A7, Monthly!E$3:E$362)</f>
        <v>40359.101394192847</v>
      </c>
      <c r="E7" s="10">
        <f t="shared" si="4"/>
        <v>50508.179620170908</v>
      </c>
      <c r="F7" s="10">
        <f t="shared" si="0"/>
        <v>23562</v>
      </c>
      <c r="G7" s="10"/>
      <c r="H7" s="19">
        <f t="shared" si="5"/>
        <v>6.3E-2</v>
      </c>
      <c r="I7" s="28">
        <v>1258973.63548481</v>
      </c>
      <c r="J7" s="29">
        <f>I7-SUM(D$3:D7)-SUM(F$3:F7)-SUM(C8:C$32)+G7</f>
        <v>298481.7994957699</v>
      </c>
      <c r="K7" s="29">
        <f>I7-SUM(D$3:D7)-SUM(F$3:F7)-SUM(C$3:C$32)+SUM(G$3:G7)</f>
        <v>83552.268439855892</v>
      </c>
      <c r="L7" s="30">
        <f>K7/(SUM(C$3:D7)+SUM(F$3:F7)-SUM(G$3:G7))</f>
        <v>0.1546259453505362</v>
      </c>
      <c r="M7" s="29">
        <f>I7-SUM(D$3:D7)-SUM(F$3:F7)-SUM(C$3:C$32)+SUM(G$3:G7)</f>
        <v>83552.268439855892</v>
      </c>
      <c r="N7" s="30">
        <f>M7/(SUM(C$3:D7)+SUM(F$3:F7)-SUM(G$3:G7))</f>
        <v>0.1546259453505362</v>
      </c>
      <c r="O7" s="34"/>
      <c r="P7" s="4">
        <f t="shared" si="6"/>
        <v>5</v>
      </c>
      <c r="Q7" s="28">
        <f>-1*(SUM(D7)+F7-G7-U7)</f>
        <v>-16649.731374192845</v>
      </c>
      <c r="R7" s="29">
        <f t="shared" si="7"/>
        <v>-102437.66302494059</v>
      </c>
      <c r="S7" s="30">
        <f>SUM(R7)/SUM(C$3:C7)</f>
        <v>-0.47661046167867649</v>
      </c>
      <c r="T7" s="43">
        <f t="shared" si="1"/>
        <v>3939.280835</v>
      </c>
      <c r="U7" s="44">
        <f t="shared" si="2"/>
        <v>47271.370020000002</v>
      </c>
    </row>
    <row r="8" spans="1:21" x14ac:dyDescent="0.25">
      <c r="A8" s="4">
        <f t="shared" si="3"/>
        <v>6</v>
      </c>
      <c r="B8" s="34">
        <f>SUM(C$3:C8)/C$1</f>
        <v>0.26557269481597556</v>
      </c>
      <c r="C8" s="10">
        <f>SUMIF(Monthly!A$3:A$362, Yearly!A8, Monthly!D$3:D$362)</f>
        <v>10807.259537665293</v>
      </c>
      <c r="D8" s="10">
        <f>SUMIF(Monthly!A$3:A$362, Yearly!A8, Monthly!E$3:E$362)</f>
        <v>39700.920082505618</v>
      </c>
      <c r="E8" s="10">
        <f t="shared" si="4"/>
        <v>50508.179620170908</v>
      </c>
      <c r="F8" s="10">
        <f t="shared" si="0"/>
        <v>23562</v>
      </c>
      <c r="G8" s="10"/>
      <c r="H8" s="19">
        <f t="shared" si="5"/>
        <v>6.3E-2</v>
      </c>
      <c r="I8" s="28">
        <v>1487175.1288006068</v>
      </c>
      <c r="J8" s="29">
        <f>I8-SUM(D$3:D8)-SUM(F$3:F8)-SUM(C9:C$32)+G8</f>
        <v>474227.63226672646</v>
      </c>
      <c r="K8" s="29">
        <f>I8-SUM(D$3:D8)-SUM(F$3:F8)-SUM(C$3:C$32)+SUM(G$3:G8)</f>
        <v>248490.84167314717</v>
      </c>
      <c r="L8" s="30">
        <f>K8/(SUM(C$3:D8)+SUM(F$3:F8)-SUM(G$3:G8))</f>
        <v>0.40443085480536378</v>
      </c>
      <c r="M8" s="29">
        <f>I7-SUM(D$3:D7)-SUM(F$3:F7)-SUM(C$3:C$32)+SUM(G$3:G7)+SUM(U$8:U8)</f>
        <v>132241.77956045588</v>
      </c>
      <c r="N8" s="30">
        <f>M8/(SUM(C$3:D8)+SUM(F$3:F8)-SUM(G$3:G8))</f>
        <v>0.21522988770333093</v>
      </c>
      <c r="O8" s="34"/>
      <c r="P8" s="4">
        <f t="shared" si="6"/>
        <v>6</v>
      </c>
      <c r="Q8" s="28">
        <f>-1*(SUM(D8)+F8-G8-U8)</f>
        <v>-14573.408961905618</v>
      </c>
      <c r="R8" s="29">
        <f t="shared" si="7"/>
        <v>-117011.0719868462</v>
      </c>
      <c r="S8" s="30">
        <f>SUM(R8)/SUM(C$3:C8)</f>
        <v>-0.5183518011360192</v>
      </c>
      <c r="T8" s="43">
        <f t="shared" si="1"/>
        <v>4057.45926005</v>
      </c>
      <c r="U8" s="44">
        <f t="shared" si="2"/>
        <v>48689.5111206</v>
      </c>
    </row>
    <row r="9" spans="1:21" x14ac:dyDescent="0.25">
      <c r="A9" s="4">
        <f t="shared" si="3"/>
        <v>7</v>
      </c>
      <c r="B9" s="34">
        <f>SUM(C$3:C9)/C$1</f>
        <v>0.27911166515557906</v>
      </c>
      <c r="C9" s="10">
        <f>SUMIF(Monthly!A$3:A$362, Yearly!A9, Monthly!D$3:D$362)</f>
        <v>11508.124788662939</v>
      </c>
      <c r="D9" s="10">
        <f>SUMIF(Monthly!A$3:A$362, Yearly!A9, Monthly!E$3:E$362)</f>
        <v>39000.054831507965</v>
      </c>
      <c r="E9" s="10">
        <f t="shared" si="4"/>
        <v>50508.179620170908</v>
      </c>
      <c r="F9" s="10">
        <f t="shared" si="0"/>
        <v>23562</v>
      </c>
      <c r="G9" s="10"/>
      <c r="H9" s="19">
        <f t="shared" si="5"/>
        <v>6.3E-2</v>
      </c>
      <c r="I9" s="28">
        <v>1573996.4721373024</v>
      </c>
      <c r="J9" s="29">
        <f>I9-SUM(D$3:D9)-SUM(F$3:F9)-SUM(C10:C$32)+G9</f>
        <v>509995.04556057684</v>
      </c>
      <c r="K9" s="29">
        <f>I9-SUM(D$3:D9)-SUM(F$3:F9)-SUM(C$3:C$32)+SUM(G$3:G9)</f>
        <v>272750.13017833466</v>
      </c>
      <c r="L9" s="30">
        <f>K9/(SUM(C$3:D9)+SUM(F$3:F9)-SUM(G$3:G9))</f>
        <v>0.39615627253080371</v>
      </c>
      <c r="M9" s="29">
        <f>I8-SUM(D$3:D8)-SUM(F$3:F8)-SUM(C$3:C$32)+SUM(G$3:G8)+SUM(U$8:U9)</f>
        <v>347330.54924796516</v>
      </c>
      <c r="N9" s="30">
        <f>M9/(SUM(C$3:D9)+SUM(F$3:F9)-SUM(G$3:G9))</f>
        <v>0.50448069680547625</v>
      </c>
      <c r="O9" s="34"/>
      <c r="P9" s="4">
        <f t="shared" si="6"/>
        <v>7</v>
      </c>
      <c r="Q9" s="28">
        <f>-1*(SUM(D9)+F9-G9-U9)</f>
        <v>-12411.858377289973</v>
      </c>
      <c r="R9" s="29">
        <f t="shared" si="7"/>
        <v>-129422.93036413618</v>
      </c>
      <c r="S9" s="30">
        <f>SUM(R9)/SUM(C$3:C9)</f>
        <v>-0.54552456964404772</v>
      </c>
      <c r="T9" s="43">
        <f t="shared" si="1"/>
        <v>4179.1830378514996</v>
      </c>
      <c r="U9" s="44">
        <f t="shared" si="2"/>
        <v>50150.196454217992</v>
      </c>
    </row>
    <row r="10" spans="1:21" x14ac:dyDescent="0.25">
      <c r="A10" s="4">
        <f t="shared" si="3"/>
        <v>8</v>
      </c>
      <c r="B10" s="34">
        <f>SUM(C$3:C10)/C$1</f>
        <v>0.29352865584920884</v>
      </c>
      <c r="C10" s="10">
        <f>SUMIF(Monthly!A$3:A$362, Yearly!A10, Monthly!D$3:D$362)</f>
        <v>12254.442089585365</v>
      </c>
      <c r="D10" s="10">
        <f>SUMIF(Monthly!A$3:A$362, Yearly!A10, Monthly!E$3:E$362)</f>
        <v>38253.737530585546</v>
      </c>
      <c r="E10" s="10">
        <f t="shared" si="4"/>
        <v>50508.179620170908</v>
      </c>
      <c r="F10" s="10">
        <f t="shared" si="0"/>
        <v>23562</v>
      </c>
      <c r="G10" s="10"/>
      <c r="H10" s="19">
        <f t="shared" si="5"/>
        <v>6.3E-2</v>
      </c>
      <c r="I10" s="28">
        <v>1596553.7581722294</v>
      </c>
      <c r="J10" s="29">
        <f>I10-SUM(D$3:D10)-SUM(F$3:F10)-SUM(C11:C$32)+G10</f>
        <v>482991.03615450358</v>
      </c>
      <c r="K10" s="29">
        <f>I10-SUM(D$3:D10)-SUM(F$3:F10)-SUM(C$3:C$32)+SUM(G$3:G10)</f>
        <v>233491.67868267605</v>
      </c>
      <c r="L10" s="30">
        <f>K10/(SUM(C$3:D10)+SUM(F$3:F10)-SUM(G$3:G10))</f>
        <v>0.30619392401101075</v>
      </c>
      <c r="M10" s="29">
        <f>I10-SUM(D$3:D10)-SUM(F$3:F10)-SUM(C$3:C$32)+SUM(G$3:G10)+SUM(U$8:U10)</f>
        <v>383986.08860533859</v>
      </c>
      <c r="N10" s="30">
        <f>M10/(SUM(C$3:D10)+SUM(F$3:F10)-SUM(G$3:G10))</f>
        <v>0.5035477405406642</v>
      </c>
      <c r="O10" s="34"/>
      <c r="P10" s="4">
        <f t="shared" si="6"/>
        <v>8</v>
      </c>
      <c r="Q10" s="28">
        <f>-1*(SUM(D10)+F10-G10-U10)</f>
        <v>-10161.035182741005</v>
      </c>
      <c r="R10" s="29">
        <f t="shared" si="7"/>
        <v>-139583.96554687718</v>
      </c>
      <c r="S10" s="30">
        <f>SUM(R10)/SUM(C$3:C10)</f>
        <v>-0.55945621247797583</v>
      </c>
      <c r="T10" s="43">
        <f t="shared" si="1"/>
        <v>4304.5585289870451</v>
      </c>
      <c r="U10" s="44">
        <f t="shared" si="2"/>
        <v>51654.702347844541</v>
      </c>
    </row>
    <row r="11" spans="1:21" x14ac:dyDescent="0.25">
      <c r="A11" s="4">
        <f t="shared" si="3"/>
        <v>9</v>
      </c>
      <c r="B11" s="34">
        <f>SUM(C$3:C11)/C$1</f>
        <v>0.30888060769241654</v>
      </c>
      <c r="C11" s="10">
        <f>SUMIF(Monthly!A$3:A$362, Yearly!A11, Monthly!D$3:D$362)</f>
        <v>13049.15906672653</v>
      </c>
      <c r="D11" s="10">
        <f>SUMIF(Monthly!A$3:A$362, Yearly!A11, Monthly!E$3:E$362)</f>
        <v>37459.020553444381</v>
      </c>
      <c r="E11" s="10">
        <f t="shared" si="4"/>
        <v>50508.179620170908</v>
      </c>
      <c r="F11" s="10">
        <f t="shared" si="0"/>
        <v>23562</v>
      </c>
      <c r="G11" s="10"/>
      <c r="H11" s="19">
        <f t="shared" si="5"/>
        <v>6.3E-2</v>
      </c>
      <c r="I11" s="28">
        <v>1535180.3865493156</v>
      </c>
      <c r="J11" s="29">
        <f>I11-SUM(D$3:D11)-SUM(F$3:F11)-SUM(C12:C$32)+G11</f>
        <v>373645.80304487213</v>
      </c>
      <c r="K11" s="29">
        <f>I11-SUM(D$3:D11)-SUM(F$3:F11)-SUM(C$3:C$32)+SUM(G$3:G11)</f>
        <v>111097.28650631802</v>
      </c>
      <c r="L11" s="30">
        <f>K11/(SUM(C$3:D11)+SUM(F$3:F11)-SUM(G$3:G11))</f>
        <v>0.13279116436007946</v>
      </c>
      <c r="M11" s="29">
        <f>I11-SUM(D$3:D11)-SUM(F$3:F11)-SUM(C$3:C$32)+SUM(G$3:G11)+SUM(U$8:U11)</f>
        <v>314796.03984726046</v>
      </c>
      <c r="N11" s="30">
        <f>M11/(SUM(C$3:D11)+SUM(F$3:F11)-SUM(G$3:G11))</f>
        <v>0.37626600956525097</v>
      </c>
      <c r="O11" s="34"/>
      <c r="P11" s="4">
        <f t="shared" si="6"/>
        <v>9</v>
      </c>
      <c r="Q11" s="28">
        <f>-1*(SUM(D11)+F11-G11-U11)</f>
        <v>-7816.6771351645075</v>
      </c>
      <c r="R11" s="29">
        <f t="shared" si="7"/>
        <v>-147400.64268204168</v>
      </c>
      <c r="S11" s="30">
        <f>SUM(R11)/SUM(C$3:C11)</f>
        <v>-0.56142249297529956</v>
      </c>
      <c r="T11" s="43">
        <f>T10+(T10*0.03)</f>
        <v>4433.6952848566561</v>
      </c>
      <c r="U11" s="44">
        <f t="shared" si="2"/>
        <v>53204.343418279874</v>
      </c>
    </row>
    <row r="12" spans="1:21" x14ac:dyDescent="0.25">
      <c r="A12" s="4">
        <f t="shared" si="3"/>
        <v>10</v>
      </c>
      <c r="B12" s="34">
        <f>SUM(C$3:C12)/C$1</f>
        <v>0.32522815416758383</v>
      </c>
      <c r="C12" s="10">
        <f>SUMIF(Monthly!A$3:A$362, Yearly!A12, Monthly!D$3:D$362)</f>
        <v>13895.414503892167</v>
      </c>
      <c r="D12" s="10">
        <f>SUMIF(Monthly!A$3:A$362, Yearly!A12, Monthly!E$3:E$362)</f>
        <v>36612.76511627873</v>
      </c>
      <c r="E12" s="10">
        <f t="shared" si="4"/>
        <v>50508.179620170893</v>
      </c>
      <c r="F12" s="10">
        <f t="shared" si="0"/>
        <v>23562</v>
      </c>
      <c r="G12" s="10"/>
      <c r="H12" s="19">
        <f t="shared" si="5"/>
        <v>6.3E-2</v>
      </c>
      <c r="I12" s="28">
        <v>1537243.537239901</v>
      </c>
      <c r="J12" s="29">
        <f>I12-SUM(D$3:D12)-SUM(F$3:F12)-SUM(C13:C$32)+G12</f>
        <v>329429.6031230709</v>
      </c>
      <c r="K12" s="29">
        <f>I12-SUM(D$3:D12)-SUM(F$3:F12)-SUM(C$3:C$32)+SUM(G$3:G12)</f>
        <v>52985.672080624616</v>
      </c>
      <c r="L12" s="30">
        <f>K12/(SUM(C$3:D12)+SUM(F$3:F12)-SUM(G$3:G12))</f>
        <v>5.8181143708745844E-2</v>
      </c>
      <c r="M12" s="29">
        <f>I12-SUM(D$3:D12)-SUM(F$3:F12)-SUM(C$3:C$32)+SUM(G$3:G12)+SUM(U$8:U12)</f>
        <v>311484.8991423953</v>
      </c>
      <c r="N12" s="30">
        <f>M12/(SUM(C$3:D12)+SUM(F$3:F12)-SUM(G$3:G12))</f>
        <v>0.34202732490647819</v>
      </c>
      <c r="O12" s="34"/>
      <c r="P12" s="4">
        <f t="shared" si="6"/>
        <v>10</v>
      </c>
      <c r="Q12" s="28">
        <f>-1*(SUM(D12)+F12-G12-U12)</f>
        <v>-5374.2913954504547</v>
      </c>
      <c r="R12" s="29">
        <f t="shared" si="7"/>
        <v>-152774.93407749213</v>
      </c>
      <c r="S12" s="30">
        <f>SUM(R12)/SUM(C$3:C12)</f>
        <v>-0.55264347277001535</v>
      </c>
      <c r="T12" s="43">
        <f t="shared" si="1"/>
        <v>4566.7061434023562</v>
      </c>
      <c r="U12" s="44">
        <f t="shared" si="2"/>
        <v>54800.473720828275</v>
      </c>
    </row>
    <row r="13" spans="1:21" x14ac:dyDescent="0.25">
      <c r="A13" s="4">
        <f t="shared" si="3"/>
        <v>11</v>
      </c>
      <c r="B13" s="34">
        <f>SUM(C$3:C13)/C$1</f>
        <v>0.34263586091960779</v>
      </c>
      <c r="C13" s="10">
        <f>SUMIF(Monthly!A$3:A$362, Yearly!A13, Monthly!D$3:D$362)</f>
        <v>14796.550739220391</v>
      </c>
      <c r="D13" s="10">
        <f>SUMIF(Monthly!A$3:A$362, Yearly!A13, Monthly!E$3:E$362)</f>
        <v>35711.62888095052</v>
      </c>
      <c r="E13" s="10">
        <f t="shared" si="4"/>
        <v>50508.179620170908</v>
      </c>
      <c r="F13" s="10">
        <f t="shared" si="0"/>
        <v>23562</v>
      </c>
      <c r="G13" s="10"/>
      <c r="H13" s="19">
        <f t="shared" si="5"/>
        <v>6.3E-2</v>
      </c>
      <c r="I13" s="28">
        <v>1551294.3300671959</v>
      </c>
      <c r="J13" s="29">
        <f>I13-SUM(D$3:D13)-SUM(F$3:F13)-SUM(C14:C$32)+G13</f>
        <v>299003.31780863565</v>
      </c>
      <c r="K13" s="29">
        <f>I13-SUM(D$3:D13)-SUM(F$3:F13)-SUM(C$3:C$32)+SUM(G$3:G13)</f>
        <v>7762.8360269691329</v>
      </c>
      <c r="L13" s="30">
        <f>K13/(SUM(C$3:D13)+SUM(F$3:F13)-SUM(G$3:G13))</f>
        <v>7.8828766633924109E-3</v>
      </c>
      <c r="M13" s="29">
        <f>I13-SUM(D$3:D13)-SUM(F$3:F13)-SUM(C$3:C$32)+SUM(G$3:G13)+SUM(U$8:U13)</f>
        <v>322706.55102119292</v>
      </c>
      <c r="N13" s="30">
        <f>M13/(SUM(C$3:D13)+SUM(F$3:F13)-SUM(G$3:G13))</f>
        <v>0.32769672466752064</v>
      </c>
      <c r="O13" s="34"/>
      <c r="P13" s="4">
        <f t="shared" si="6"/>
        <v>11</v>
      </c>
      <c r="Q13" s="28">
        <f>-1*(SUM(D13)+F13-G13-U13)</f>
        <v>-2829.1409484973919</v>
      </c>
      <c r="R13" s="29">
        <f t="shared" si="7"/>
        <v>-155604.07502598953</v>
      </c>
      <c r="S13" s="30">
        <f>SUM(R13)/SUM(C$3:C13)</f>
        <v>-0.53428037913575754</v>
      </c>
      <c r="T13" s="43">
        <f t="shared" si="1"/>
        <v>4703.7073277044274</v>
      </c>
      <c r="U13" s="44">
        <f t="shared" si="2"/>
        <v>56444.487932453128</v>
      </c>
    </row>
    <row r="14" spans="1:21" x14ac:dyDescent="0.25">
      <c r="A14" s="4">
        <f t="shared" si="3"/>
        <v>12</v>
      </c>
      <c r="B14" s="34">
        <f>SUM(C$3:C14)/C$1</f>
        <v>0.361172480761905</v>
      </c>
      <c r="C14" s="10">
        <f>SUMIF(Monthly!A$3:A$362, Yearly!A14, Monthly!D$3:D$362)</f>
        <v>15756.126865952647</v>
      </c>
      <c r="D14" s="10">
        <f>SUMIF(Monthly!A$3:A$362, Yearly!A14, Monthly!E$3:E$362)</f>
        <v>34752.052754218261</v>
      </c>
      <c r="E14" s="10">
        <f t="shared" si="4"/>
        <v>50508.179620170908</v>
      </c>
      <c r="F14" s="10">
        <f t="shared" si="0"/>
        <v>23562</v>
      </c>
      <c r="G14" s="10"/>
      <c r="H14" s="19">
        <f t="shared" si="5"/>
        <v>6.3E-2</v>
      </c>
      <c r="I14" s="28">
        <v>1634838.6457510001</v>
      </c>
      <c r="J14" s="29">
        <f>I14-SUM(D$3:D14)-SUM(F$3:F14)-SUM(C15:C$32)+G14</f>
        <v>339989.70760417439</v>
      </c>
      <c r="K14" s="29">
        <f>I14-SUM(D$3:D14)-SUM(F$3:F14)-SUM(C$3:C$32)+SUM(G$3:G14)</f>
        <v>32993.098956555128</v>
      </c>
      <c r="L14" s="30">
        <f>K14/(SUM(C$3:D14)+SUM(F$3:F14)-SUM(G$3:G14))</f>
        <v>3.1159600878169606E-2</v>
      </c>
      <c r="M14" s="29">
        <f>I14-SUM(D$3:D14)-SUM(F$3:F14)-SUM(C$3:C$32)+SUM(G$3:G14)+SUM(U$8:U14)</f>
        <v>406074.63652120566</v>
      </c>
      <c r="N14" s="30">
        <f>M14/(SUM(C$3:D14)+SUM(F$3:F14)-SUM(G$3:G14))</f>
        <v>0.38350818810351911</v>
      </c>
      <c r="O14" s="34"/>
      <c r="P14" s="4">
        <f t="shared" si="6"/>
        <v>12</v>
      </c>
      <c r="Q14" s="28">
        <f>-1*(SUM(D14)+F14-G14-U14)</f>
        <v>-176.23018379153655</v>
      </c>
      <c r="R14" s="29">
        <f t="shared" si="7"/>
        <v>-155780.30520978107</v>
      </c>
      <c r="S14" s="30">
        <f>SUM(R14)/SUM(C$3:C14)</f>
        <v>-0.50743330975551848</v>
      </c>
      <c r="T14" s="43">
        <f t="shared" si="1"/>
        <v>4844.8185475355604</v>
      </c>
      <c r="U14" s="44">
        <f t="shared" si="2"/>
        <v>58137.822570426724</v>
      </c>
    </row>
    <row r="15" spans="1:21" x14ac:dyDescent="0.25">
      <c r="A15" s="4">
        <f t="shared" si="3"/>
        <v>13</v>
      </c>
      <c r="B15" s="34">
        <f>SUM(C$3:C15)/C$1</f>
        <v>0.38091122521989607</v>
      </c>
      <c r="C15" s="10">
        <f>SUMIF(Monthly!A$3:A$362, Yearly!A15, Monthly!D$3:D$362)</f>
        <v>16777.932789292416</v>
      </c>
      <c r="D15" s="10">
        <f>SUMIF(Monthly!A$3:A$362, Yearly!A15, Monthly!E$3:E$362)</f>
        <v>33730.246830878488</v>
      </c>
      <c r="E15" s="10">
        <f t="shared" si="4"/>
        <v>50508.179620170908</v>
      </c>
      <c r="F15" s="10">
        <f t="shared" si="0"/>
        <v>23562</v>
      </c>
      <c r="G15" s="10"/>
      <c r="H15" s="19">
        <f t="shared" si="5"/>
        <v>6.3E-2</v>
      </c>
      <c r="I15" s="28">
        <v>1723020.7734116067</v>
      </c>
      <c r="J15" s="29">
        <f>I15-SUM(D$3:D15)-SUM(F$3:F15)-SUM(C16:C$32)+G15</f>
        <v>387657.52122319478</v>
      </c>
      <c r="K15" s="29">
        <f>I15-SUM(D$3:D15)-SUM(F$3:F15)-SUM(C$3:C$32)+SUM(G$3:G15)</f>
        <v>63882.979786283104</v>
      </c>
      <c r="L15" s="30">
        <f>K15/(SUM(C$3:D15)+SUM(F$3:F15)-SUM(G$3:G15))</f>
        <v>5.6388281607662537E-2</v>
      </c>
      <c r="M15" s="29">
        <f>I15-SUM(D$3:D15)-SUM(F$3:F15)-SUM(C$3:C$32)+SUM(G$3:G15)+SUM(U$8:U15)</f>
        <v>496846.47459847317</v>
      </c>
      <c r="N15" s="30">
        <f>M15/(SUM(C$3:D15)+SUM(F$3:F15)-SUM(G$3:G15))</f>
        <v>0.43855685848030362</v>
      </c>
      <c r="O15" s="34"/>
      <c r="P15" s="4">
        <f t="shared" si="6"/>
        <v>13</v>
      </c>
      <c r="Q15" s="28">
        <f>-1*(SUM(D15)+F15-G15-U15)</f>
        <v>2589.710416661037</v>
      </c>
      <c r="R15" s="29">
        <f t="shared" si="7"/>
        <v>-153190.59479312005</v>
      </c>
      <c r="S15" s="30">
        <f>SUM(R15)/SUM(C$3:C15)</f>
        <v>-0.47313971664745497</v>
      </c>
      <c r="T15" s="43">
        <f t="shared" si="1"/>
        <v>4990.1631039616268</v>
      </c>
      <c r="U15" s="44">
        <f t="shared" si="2"/>
        <v>59881.957247539525</v>
      </c>
    </row>
    <row r="16" spans="1:21" x14ac:dyDescent="0.25">
      <c r="A16" s="4">
        <f t="shared" si="3"/>
        <v>14</v>
      </c>
      <c r="B16" s="34">
        <f>SUM(C$3:C16)/C$1</f>
        <v>0.40193005368444906</v>
      </c>
      <c r="C16" s="10">
        <f>SUMIF(Monthly!A$3:A$362, Yearly!A16, Monthly!D$3:D$362)</f>
        <v>17866.004194869987</v>
      </c>
      <c r="D16" s="10">
        <f>SUMIF(Monthly!A$3:A$362, Yearly!A16, Monthly!E$3:E$362)</f>
        <v>32642.175425300928</v>
      </c>
      <c r="E16" s="10">
        <f t="shared" si="4"/>
        <v>50508.179620170915</v>
      </c>
      <c r="F16" s="10">
        <f t="shared" si="0"/>
        <v>23562</v>
      </c>
      <c r="G16" s="10"/>
      <c r="H16" s="19">
        <f t="shared" si="5"/>
        <v>6.3E-2</v>
      </c>
      <c r="I16" s="28">
        <v>1971577.8158697896</v>
      </c>
      <c r="J16" s="29">
        <f>I16-SUM(D$3:D16)-SUM(F$3:F16)-SUM(C17:C$32)+G16</f>
        <v>597876.39245094673</v>
      </c>
      <c r="K16" s="29">
        <f>I16-SUM(D$3:D16)-SUM(F$3:F16)-SUM(C$3:C$32)+SUM(G$3:G16)</f>
        <v>256235.84681916516</v>
      </c>
      <c r="L16" s="30">
        <f>K16/(SUM(C$3:D16)+SUM(F$3:F16)-SUM(G$3:G16))</f>
        <v>0.21229458066059179</v>
      </c>
      <c r="M16" s="29">
        <f>I16-SUM(D$3:D16)-SUM(F$3:F16)-SUM(C$3:C$32)+SUM(G$3:G16)+SUM(U$8:U16)</f>
        <v>750877.75759632094</v>
      </c>
      <c r="N16" s="30">
        <f>M16/(SUM(C$3:D16)+SUM(F$3:F16)-SUM(G$3:G16))</f>
        <v>0.6221115454965046</v>
      </c>
      <c r="O16" s="34"/>
      <c r="P16" s="4">
        <f t="shared" si="6"/>
        <v>14</v>
      </c>
      <c r="Q16" s="28">
        <f>-1*(SUM(D16)+F16-G16-U16)</f>
        <v>5474.240539664781</v>
      </c>
      <c r="R16" s="29">
        <f t="shared" si="7"/>
        <v>-147716.35425345527</v>
      </c>
      <c r="S16" s="30">
        <f>SUM(R16)/SUM(C$3:C16)</f>
        <v>-0.43237360477893377</v>
      </c>
      <c r="T16" s="43">
        <f t="shared" si="1"/>
        <v>5139.867997080476</v>
      </c>
      <c r="U16" s="44">
        <f t="shared" si="2"/>
        <v>61678.415964965709</v>
      </c>
    </row>
    <row r="17" spans="1:21" x14ac:dyDescent="0.25">
      <c r="A17" s="4">
        <f t="shared" si="3"/>
        <v>15</v>
      </c>
      <c r="B17" s="34">
        <f>SUM(C$3:C17)/C$1</f>
        <v>0.4243119813173104</v>
      </c>
      <c r="C17" s="10">
        <f>SUMIF(Monthly!A$3:A$362, Yearly!A17, Monthly!D$3:D$362)</f>
        <v>19024.638487932178</v>
      </c>
      <c r="D17" s="10">
        <f>SUMIF(Monthly!A$3:A$362, Yearly!A17, Monthly!E$3:E$362)</f>
        <v>31483.54113223873</v>
      </c>
      <c r="E17" s="10">
        <f t="shared" si="4"/>
        <v>50508.179620170908</v>
      </c>
      <c r="F17" s="10">
        <f t="shared" si="0"/>
        <v>23562</v>
      </c>
      <c r="G17" s="10"/>
      <c r="H17" s="19">
        <f t="shared" si="5"/>
        <v>6.3E-2</v>
      </c>
      <c r="I17" s="28">
        <v>2191844.5218854127</v>
      </c>
      <c r="J17" s="29">
        <f>I17-SUM(D$3:D17)-SUM(F$3:F17)-SUM(C18:C$32)+G17</f>
        <v>782122.19582226349</v>
      </c>
      <c r="K17" s="29">
        <f>I17-SUM(D$3:D17)-SUM(F$3:F17)-SUM(C$3:C$32)+SUM(G$3:G17)</f>
        <v>421457.01170254964</v>
      </c>
      <c r="L17" s="30">
        <f>K17/(SUM(C$3:D17)+SUM(F$3:F17)-SUM(G$3:G17))</f>
        <v>0.32899272104649929</v>
      </c>
      <c r="M17" s="29">
        <f>I17-SUM(D$3:D17)-SUM(F$3:F17)-SUM(C$3:C$32)+SUM(G$3:G17)+SUM(U$8:U17)</f>
        <v>979627.69092362013</v>
      </c>
      <c r="N17" s="30">
        <f>M17/(SUM(C$3:D17)+SUM(F$3:F17)-SUM(G$3:G17))</f>
        <v>0.76470522663156604</v>
      </c>
      <c r="O17" s="34"/>
      <c r="P17" s="4">
        <f t="shared" si="6"/>
        <v>15</v>
      </c>
      <c r="Q17" s="28">
        <f>-1*(SUM(D17)+F17-G17-U17)</f>
        <v>8483.2273116759534</v>
      </c>
      <c r="R17" s="29">
        <f t="shared" si="7"/>
        <v>-139233.12694177931</v>
      </c>
      <c r="S17" s="30">
        <f>SUM(R17)/SUM(C$3:C17)</f>
        <v>-0.38604537690991636</v>
      </c>
      <c r="T17" s="43">
        <f t="shared" si="1"/>
        <v>5294.0640369928906</v>
      </c>
      <c r="U17" s="44">
        <f t="shared" si="2"/>
        <v>63528.768443914683</v>
      </c>
    </row>
    <row r="18" spans="1:21" x14ac:dyDescent="0.25">
      <c r="A18" s="4">
        <f t="shared" si="3"/>
        <v>16</v>
      </c>
      <c r="B18" s="34">
        <f>SUM(C$3:C18)/C$1</f>
        <v>0.44814540692461619</v>
      </c>
      <c r="C18" s="10">
        <f>SUMIF(Monthly!A$3:A$362, Yearly!A18, Monthly!D$3:D$362)</f>
        <v>20258.411766209949</v>
      </c>
      <c r="D18" s="10">
        <f>SUMIF(Monthly!A$3:A$362, Yearly!A18, Monthly!E$3:E$362)</f>
        <v>30249.767853960959</v>
      </c>
      <c r="E18" s="10">
        <f t="shared" si="4"/>
        <v>50508.179620170908</v>
      </c>
      <c r="F18" s="10">
        <f t="shared" si="0"/>
        <v>23562</v>
      </c>
      <c r="G18" s="10"/>
      <c r="H18" s="19">
        <f t="shared" si="5"/>
        <v>6.3E-2</v>
      </c>
      <c r="I18" s="28">
        <v>2293214.7481525997</v>
      </c>
      <c r="J18" s="29">
        <f>I18-SUM(D$3:D18)-SUM(F$3:F18)-SUM(C19:C$32)+G18</f>
        <v>849939.06600169919</v>
      </c>
      <c r="K18" s="29">
        <f>I18-SUM(D$3:D18)-SUM(F$3:F18)-SUM(C$3:C$32)+SUM(G$3:G18)</f>
        <v>469015.47011577548</v>
      </c>
      <c r="L18" s="30">
        <f>K18/(SUM(C$3:D18)+SUM(F$3:F18)-SUM(G$3:G18))</f>
        <v>0.34610549282375813</v>
      </c>
      <c r="M18" s="29">
        <f>I18-SUM(D$3:D18)-SUM(F$3:F18)-SUM(C$3:C$32)+SUM(G$3:G18)+SUM(U$8:U18)</f>
        <v>1092620.7808340781</v>
      </c>
      <c r="N18" s="30">
        <f>M18/(SUM(C$3:D18)+SUM(F$3:F18)-SUM(G$3:G18))</f>
        <v>0.80628908408225752</v>
      </c>
      <c r="O18" s="34"/>
      <c r="P18" s="4">
        <f t="shared" si="6"/>
        <v>16</v>
      </c>
      <c r="Q18" s="28">
        <f>-1*(SUM(D18)+F18-G18-U18)</f>
        <v>11622.863643271165</v>
      </c>
      <c r="R18" s="29">
        <f t="shared" si="7"/>
        <v>-127610.26329850814</v>
      </c>
      <c r="S18" s="30">
        <f>SUM(R18)/SUM(C$3:C18)</f>
        <v>-0.33500225419672858</v>
      </c>
      <c r="T18" s="43">
        <f t="shared" si="1"/>
        <v>5452.8859581026773</v>
      </c>
      <c r="U18" s="44">
        <f t="shared" si="2"/>
        <v>65434.631497232127</v>
      </c>
    </row>
    <row r="19" spans="1:21" x14ac:dyDescent="0.25">
      <c r="A19" s="4">
        <f t="shared" si="3"/>
        <v>17</v>
      </c>
      <c r="B19" s="34">
        <f>SUM(C$3:C19)/C$1</f>
        <v>0.47352446209343868</v>
      </c>
      <c r="C19" s="10">
        <f>SUMIF(Monthly!A$3:A$362, Yearly!A19, Monthly!D$3:D$362)</f>
        <v>21572.196893499091</v>
      </c>
      <c r="D19" s="10">
        <f>SUMIF(Monthly!A$3:A$362, Yearly!A19, Monthly!E$3:E$362)</f>
        <v>28935.98272667182</v>
      </c>
      <c r="E19" s="10">
        <f t="shared" si="4"/>
        <v>50508.179620170908</v>
      </c>
      <c r="F19" s="10">
        <f t="shared" si="0"/>
        <v>23562</v>
      </c>
      <c r="G19" s="10"/>
      <c r="H19" s="19">
        <f t="shared" si="5"/>
        <v>6.3E-2</v>
      </c>
      <c r="I19" s="28">
        <v>2427154.6537271012</v>
      </c>
      <c r="J19" s="29">
        <f>I19-SUM(D$3:D19)-SUM(F$3:F19)-SUM(C20:C$32)+G19</f>
        <v>952953.18574302783</v>
      </c>
      <c r="K19" s="29">
        <f>I19-SUM(D$3:D19)-SUM(F$3:F19)-SUM(C$3:C$32)+SUM(G$3:G19)</f>
        <v>550457.392963605</v>
      </c>
      <c r="L19" s="30">
        <f>K19/(SUM(C$3:D19)+SUM(F$3:F19)-SUM(G$3:G19))</f>
        <v>0.38515258075110692</v>
      </c>
      <c r="M19" s="29">
        <f>I19-SUM(D$3:D19)-SUM(F$3:F19)-SUM(C$3:C$32)+SUM(G$3:G19)+SUM(U$8:U19)</f>
        <v>1241460.3741240567</v>
      </c>
      <c r="N19" s="30">
        <f>M19/(SUM(C$3:D19)+SUM(F$3:F19)-SUM(G$3:G19))</f>
        <v>0.86864428220283607</v>
      </c>
      <c r="O19" s="34"/>
      <c r="P19" s="4">
        <f t="shared" si="6"/>
        <v>17</v>
      </c>
      <c r="Q19" s="28">
        <f>-1*(SUM(D19)+F19-G19-U19)</f>
        <v>14899.687715477266</v>
      </c>
      <c r="R19" s="29">
        <f t="shared" si="7"/>
        <v>-112710.57558303088</v>
      </c>
      <c r="S19" s="30">
        <f>SUM(R19)/SUM(C$3:C19)</f>
        <v>-0.28002920180782837</v>
      </c>
      <c r="T19" s="43">
        <f t="shared" si="1"/>
        <v>5616.4725368457575</v>
      </c>
      <c r="U19" s="44">
        <f t="shared" si="2"/>
        <v>67397.670442149087</v>
      </c>
    </row>
    <row r="20" spans="1:21" x14ac:dyDescent="0.25">
      <c r="A20" s="4">
        <f t="shared" si="3"/>
        <v>18</v>
      </c>
      <c r="B20" s="34">
        <f>SUM(C$3:C20)/C$1</f>
        <v>0.5005493829703056</v>
      </c>
      <c r="C20" s="10">
        <f>SUMIF(Monthly!A$3:A$362, Yearly!A20, Monthly!D$3:D$362)</f>
        <v>22971.18274533689</v>
      </c>
      <c r="D20" s="10">
        <f>SUMIF(Monthly!A$3:A$362, Yearly!A20, Monthly!E$3:E$362)</f>
        <v>27536.996874834018</v>
      </c>
      <c r="E20" s="10">
        <f t="shared" si="4"/>
        <v>50508.179620170908</v>
      </c>
      <c r="F20" s="10">
        <f t="shared" si="0"/>
        <v>23562</v>
      </c>
      <c r="G20" s="10"/>
      <c r="H20" s="19">
        <f t="shared" si="5"/>
        <v>6.3E-2</v>
      </c>
      <c r="I20" s="28">
        <v>2485577.0359937218</v>
      </c>
      <c r="J20" s="29">
        <f>I20-SUM(D$3:D20)-SUM(F$3:F20)-SUM(C21:C$32)+G20</f>
        <v>983247.75388015131</v>
      </c>
      <c r="K20" s="29">
        <f>I20-SUM(D$3:D20)-SUM(F$3:F20)-SUM(C$3:C$32)+SUM(G$3:G20)</f>
        <v>557780.7783553917</v>
      </c>
      <c r="L20" s="30">
        <f>K20/(SUM(C$3:D20)+SUM(F$3:F20)-SUM(G$3:G20))</f>
        <v>0.37104664442683322</v>
      </c>
      <c r="M20" s="29">
        <f>I20-SUM(D$3:D20)-SUM(F$3:F20)-SUM(C$3:C$32)+SUM(G$3:G20)+SUM(U$8:U20)</f>
        <v>1318203.3600712568</v>
      </c>
      <c r="N20" s="30">
        <f>M20/(SUM(C$3:D20)+SUM(F$3:F20)-SUM(G$3:G20))</f>
        <v>0.87689456576249269</v>
      </c>
      <c r="O20" s="34"/>
      <c r="P20" s="4">
        <f t="shared" si="6"/>
        <v>18</v>
      </c>
      <c r="Q20" s="28">
        <f>-1*(SUM(D20)+F20-G20-U20)</f>
        <v>18320.603680579545</v>
      </c>
      <c r="R20" s="29">
        <f t="shared" si="7"/>
        <v>-94389.971902451332</v>
      </c>
      <c r="S20" s="30">
        <f>SUM(R20)/SUM(C$3:C20)</f>
        <v>-0.22185028999262099</v>
      </c>
      <c r="T20" s="43">
        <f t="shared" si="1"/>
        <v>5784.9667129511299</v>
      </c>
      <c r="U20" s="44">
        <f t="shared" si="2"/>
        <v>69419.600555413563</v>
      </c>
    </row>
    <row r="21" spans="1:21" x14ac:dyDescent="0.25">
      <c r="A21" s="4">
        <f t="shared" si="3"/>
        <v>19</v>
      </c>
      <c r="B21" s="34">
        <f>SUM(C$3:C21)/C$1</f>
        <v>0.52932690615005473</v>
      </c>
      <c r="C21" s="10">
        <f>SUMIF(Monthly!A$3:A$362, Yearly!A21, Monthly!D$3:D$362)</f>
        <v>24460.894702786693</v>
      </c>
      <c r="D21" s="10">
        <f>SUMIF(Monthly!A$3:A$362, Yearly!A21, Monthly!E$3:E$362)</f>
        <v>26047.284917384215</v>
      </c>
      <c r="E21" s="10">
        <f t="shared" si="4"/>
        <v>50508.179620170908</v>
      </c>
      <c r="F21" s="10">
        <f t="shared" si="0"/>
        <v>23562</v>
      </c>
      <c r="G21" s="10"/>
      <c r="H21" s="19">
        <f t="shared" si="5"/>
        <v>6.3E-2</v>
      </c>
      <c r="I21" s="28">
        <v>2501454.8952335417</v>
      </c>
      <c r="J21" s="29">
        <f>I21-SUM(D$3:D21)-SUM(F$3:F21)-SUM(C22:C$32)+G21</f>
        <v>973977.22290537367</v>
      </c>
      <c r="K21" s="29">
        <f>I21-SUM(D$3:D21)-SUM(F$3:F21)-SUM(C$3:C$32)+SUM(G$3:G21)</f>
        <v>524049.35267782724</v>
      </c>
      <c r="L21" s="30">
        <f>K21/(SUM(C$3:D21)+SUM(F$3:F21)-SUM(G$3:G21))</f>
        <v>0.33223752722839245</v>
      </c>
      <c r="M21" s="29">
        <f>I21-SUM(D$3:D21)-SUM(F$3:F21)-SUM(C$3:C$32)+SUM(G$3:G21)+SUM(U$8:U21)</f>
        <v>1355974.1229657684</v>
      </c>
      <c r="N21" s="30">
        <f>M21/(SUM(C$3:D21)+SUM(F$3:F21)-SUM(G$3:G21))</f>
        <v>0.85966233389624058</v>
      </c>
      <c r="O21" s="34"/>
      <c r="P21" s="4">
        <f t="shared" si="6"/>
        <v>19</v>
      </c>
      <c r="Q21" s="28">
        <f>-1*(SUM(D21)+F21-G21-U21)</f>
        <v>21892.903654691749</v>
      </c>
      <c r="R21" s="29">
        <f t="shared" si="7"/>
        <v>-72497.068247759584</v>
      </c>
      <c r="S21" s="30">
        <f>SUM(R21)/SUM(C$3:C21)</f>
        <v>-0.16113042344119496</v>
      </c>
      <c r="T21" s="43">
        <f t="shared" si="1"/>
        <v>5958.5157143396636</v>
      </c>
      <c r="U21" s="44">
        <f t="shared" si="2"/>
        <v>71502.18857207596</v>
      </c>
    </row>
    <row r="22" spans="1:21" x14ac:dyDescent="0.25">
      <c r="A22" s="4">
        <f t="shared" si="3"/>
        <v>20</v>
      </c>
      <c r="B22" s="34">
        <f>SUM(C$3:C22)/C$1</f>
        <v>0.55997069023860979</v>
      </c>
      <c r="C22" s="10">
        <f>SUMIF(Monthly!A$3:A$362, Yearly!A22, Monthly!D$3:D$362)</f>
        <v>26047.216475271773</v>
      </c>
      <c r="D22" s="10">
        <f>SUMIF(Monthly!A$3:A$362, Yearly!A22, Monthly!E$3:E$362)</f>
        <v>24460.963144899135</v>
      </c>
      <c r="E22" s="10">
        <f t="shared" si="4"/>
        <v>50508.179620170908</v>
      </c>
      <c r="F22" s="10">
        <f t="shared" si="0"/>
        <v>23562</v>
      </c>
      <c r="G22" s="10"/>
      <c r="H22" s="19">
        <f t="shared" si="5"/>
        <v>6.3E-2</v>
      </c>
      <c r="I22" s="28">
        <v>2525679</v>
      </c>
      <c r="J22" s="29">
        <f>I22-SUM(D$3:D22)-SUM(F$3:F22)-SUM(C23:C$32)+G22</f>
        <v>976225.5810022048</v>
      </c>
      <c r="K22" s="29">
        <f>I22-SUM(D$3:D22)-SUM(F$3:F22)-SUM(C$3:C$32)+SUM(G$3:G22)</f>
        <v>500250.49429938663</v>
      </c>
      <c r="L22" s="30">
        <f>K22/(SUM(C$3:D22)+SUM(F$3:F22)-SUM(G$3:G22))</f>
        <v>0.30292443143552361</v>
      </c>
      <c r="M22" s="29">
        <f>I22-SUM(D$3:D22)-SUM(F$3:F22)-SUM(C$3:C$32)+SUM(G$3:G22)+SUM(U$8:U22)</f>
        <v>1405822.5188165661</v>
      </c>
      <c r="N22" s="30">
        <f>M22/(SUM(C$3:D22)+SUM(F$3:F22)-SUM(G$3:G22))</f>
        <v>0.85128948809573646</v>
      </c>
      <c r="O22" s="34"/>
      <c r="P22" s="4">
        <f t="shared" si="6"/>
        <v>20</v>
      </c>
      <c r="Q22" s="28">
        <f>-1*(SUM(D22)+F22-G22-U22)</f>
        <v>25624.291084339107</v>
      </c>
      <c r="R22" s="29">
        <f t="shared" si="7"/>
        <v>-46872.777163420476</v>
      </c>
      <c r="S22" s="30">
        <f>SUM(R22)/SUM(C$3:C22)</f>
        <v>-9.8477375125068572E-2</v>
      </c>
      <c r="T22" s="43">
        <f t="shared" si="1"/>
        <v>6137.2711857698532</v>
      </c>
      <c r="U22" s="44">
        <f t="shared" si="2"/>
        <v>73647.254229238242</v>
      </c>
    </row>
    <row r="23" spans="1:21" x14ac:dyDescent="0.25">
      <c r="A23" s="4">
        <f t="shared" si="3"/>
        <v>21</v>
      </c>
      <c r="B23" s="34">
        <f>SUM(C$3:C23)/C$1</f>
        <v>0.59260176475466775</v>
      </c>
      <c r="C23" s="10">
        <f>SUMIF(Monthly!A$3:A$362, Yearly!A23, Monthly!D$3:D$362)</f>
        <v>27736.413338649334</v>
      </c>
      <c r="D23" s="10">
        <f>SUMIF(Monthly!A$3:A$362, Yearly!A23, Monthly!E$3:E$362)</f>
        <v>22771.766281521577</v>
      </c>
      <c r="E23" s="10">
        <f t="shared" si="4"/>
        <v>50508.179620170908</v>
      </c>
      <c r="F23" s="10">
        <f t="shared" si="0"/>
        <v>23562</v>
      </c>
      <c r="G23" s="10"/>
      <c r="H23" s="19">
        <f t="shared" si="5"/>
        <v>6.3E-2</v>
      </c>
      <c r="I23" s="28">
        <v>2560859.4044902236</v>
      </c>
      <c r="J23" s="29">
        <f>I23-SUM(D$3:D23)-SUM(F$3:F23)-SUM(C24:C$32)+G23</f>
        <v>992808.63254955609</v>
      </c>
      <c r="K23" s="29">
        <f>I23-SUM(D$3:D23)-SUM(F$3:F23)-SUM(C$3:C$32)+SUM(G$3:G23)</f>
        <v>489097.1325080886</v>
      </c>
      <c r="L23" s="30">
        <f>K23/(SUM(C$3:D23)+SUM(F$3:F23)-SUM(G$3:G23))</f>
        <v>0.28345671805517431</v>
      </c>
      <c r="M23" s="29">
        <f>I23-SUM(D$3:D23)-SUM(F$3:F23)-SUM(C$3:C$32)+SUM(G$3:G23)+SUM(U$8:U23)</f>
        <v>1470525.8288813834</v>
      </c>
      <c r="N23" s="30">
        <f>M23/(SUM(C$3:D23)+SUM(F$3:F23)-SUM(G$3:G23))</f>
        <v>0.8522446719991521</v>
      </c>
      <c r="O23" s="34"/>
      <c r="P23" s="4">
        <f t="shared" si="6"/>
        <v>21</v>
      </c>
      <c r="Q23" s="28">
        <f>-1*(SUM(D23)+F23-G23-U23)</f>
        <v>29522.905574593824</v>
      </c>
      <c r="R23" s="29">
        <f t="shared" si="7"/>
        <v>-17349.871588826652</v>
      </c>
      <c r="S23" s="30">
        <f>SUM(R23)/SUM(C$3:C23)</f>
        <v>-3.444406488118365E-2</v>
      </c>
      <c r="T23" s="43">
        <f t="shared" si="1"/>
        <v>6321.3893213429492</v>
      </c>
      <c r="U23" s="44">
        <f t="shared" si="2"/>
        <v>75856.671856115398</v>
      </c>
    </row>
    <row r="24" spans="1:21" x14ac:dyDescent="0.25">
      <c r="A24" s="4">
        <f t="shared" si="3"/>
        <v>22</v>
      </c>
      <c r="B24" s="34">
        <f>SUM(C$3:C24)/C$1</f>
        <v>0.62734900814326133</v>
      </c>
      <c r="C24" s="10">
        <f>SUMIF(Monthly!A$3:A$362, Yearly!A24, Monthly!D$3:D$362)</f>
        <v>29535.156880304523</v>
      </c>
      <c r="D24" s="10">
        <f>SUMIF(Monthly!A$3:A$362, Yearly!A24, Monthly!E$3:E$362)</f>
        <v>20973.022739866392</v>
      </c>
      <c r="E24" s="10">
        <f t="shared" si="4"/>
        <v>50508.179620170915</v>
      </c>
      <c r="F24" s="10">
        <f t="shared" si="0"/>
        <v>23562</v>
      </c>
      <c r="G24" s="10"/>
      <c r="H24" s="19">
        <f t="shared" si="5"/>
        <v>6.3E-2</v>
      </c>
      <c r="I24" s="28">
        <v>2567870.6290854258</v>
      </c>
      <c r="J24" s="29">
        <f>I24-SUM(D$3:D24)-SUM(F$3:F24)-SUM(C25:C$32)+G24</f>
        <v>984819.99128519627</v>
      </c>
      <c r="K24" s="29">
        <f>I24-SUM(D$3:D24)-SUM(F$3:F24)-SUM(C$3:C$32)+SUM(G$3:G24)</f>
        <v>451573.33436342422</v>
      </c>
      <c r="L24" s="30">
        <f>K24/(SUM(C$3:D24)+SUM(F$3:F24)-SUM(G$3:G24))</f>
        <v>0.25093765225958664</v>
      </c>
      <c r="M24" s="29">
        <f>I24-SUM(D$3:D24)-SUM(F$3:F24)-SUM(C$3:C$32)+SUM(G$3:G24)+SUM(U$8:U24)</f>
        <v>1511134.4027485179</v>
      </c>
      <c r="N24" s="30">
        <f>M24/(SUM(C$3:D24)+SUM(F$3:F24)-SUM(G$3:G24))</f>
        <v>0.83973186727014937</v>
      </c>
      <c r="O24" s="34"/>
      <c r="P24" s="4">
        <f t="shared" si="6"/>
        <v>22</v>
      </c>
      <c r="Q24" s="28">
        <f>-1*(SUM(D24)+F24-G24-U24)</f>
        <v>33597.349271932449</v>
      </c>
      <c r="R24" s="29">
        <f t="shared" si="7"/>
        <v>16247.477683105797</v>
      </c>
      <c r="S24" s="30">
        <f>SUM(R24)/SUM(C$3:C24)</f>
        <v>3.0468972420560937E-2</v>
      </c>
      <c r="T24" s="43">
        <f t="shared" si="1"/>
        <v>6511.0310009832374</v>
      </c>
      <c r="U24" s="44">
        <f t="shared" si="2"/>
        <v>78132.372011798841</v>
      </c>
    </row>
    <row r="25" spans="1:21" x14ac:dyDescent="0.25">
      <c r="A25" s="4">
        <f t="shared" si="3"/>
        <v>23</v>
      </c>
      <c r="B25" s="34">
        <f>SUM(C$3:C25)/C$1</f>
        <v>0.66434965678914037</v>
      </c>
      <c r="C25" s="10">
        <f>SUMIF(Monthly!A$3:A$362, Yearly!A25, Monthly!D$3:D$362)</f>
        <v>31450.551348997105</v>
      </c>
      <c r="D25" s="10">
        <f>SUMIF(Monthly!A$3:A$362, Yearly!A25, Monthly!E$3:E$362)</f>
        <v>19057.628271173799</v>
      </c>
      <c r="E25" s="10">
        <f t="shared" si="4"/>
        <v>50508.179620170908</v>
      </c>
      <c r="F25" s="10">
        <f t="shared" si="0"/>
        <v>23562</v>
      </c>
      <c r="G25" s="10"/>
      <c r="H25" s="19">
        <f t="shared" si="5"/>
        <v>6.3E-2</v>
      </c>
      <c r="I25" s="28">
        <v>2517744.596351739</v>
      </c>
      <c r="J25" s="29">
        <f>I25-SUM(D$3:D25)-SUM(F$3:F25)-SUM(C26:C$32)+G25</f>
        <v>923524.8816293329</v>
      </c>
      <c r="K25" s="29">
        <f>I25-SUM(D$3:D25)-SUM(F$3:F25)-SUM(C$3:C$32)+SUM(G$3:G25)</f>
        <v>358827.6733585638</v>
      </c>
      <c r="L25" s="30">
        <f>K25/(SUM(C$3:D25)+SUM(F$3:F25)-SUM(G$3:G25))</f>
        <v>0.19151631457673757</v>
      </c>
      <c r="M25" s="29">
        <f>I25-SUM(D$3:D25)-SUM(F$3:F25)-SUM(C$3:C$32)+SUM(G$3:G25)+SUM(U$8:U25)</f>
        <v>1498865.0849158103</v>
      </c>
      <c r="N25" s="30">
        <f>M25/(SUM(C$3:D25)+SUM(F$3:F25)-SUM(G$3:G25))</f>
        <v>0.79998600560547839</v>
      </c>
      <c r="O25" s="34"/>
      <c r="P25" s="4">
        <f t="shared" si="6"/>
        <v>23</v>
      </c>
      <c r="Q25" s="28">
        <f>-1*(SUM(D25)+F25-G25-U25)</f>
        <v>37856.714900979016</v>
      </c>
      <c r="R25" s="29">
        <f t="shared" si="7"/>
        <v>54104.192584084813</v>
      </c>
      <c r="S25" s="30">
        <f>SUM(R25)/SUM(C$3:C25)</f>
        <v>9.58109793915293E-2</v>
      </c>
      <c r="T25" s="43">
        <f t="shared" si="1"/>
        <v>6706.3619310127342</v>
      </c>
      <c r="U25" s="44">
        <f t="shared" si="2"/>
        <v>80476.343172152818</v>
      </c>
    </row>
    <row r="26" spans="1:21" x14ac:dyDescent="0.25">
      <c r="A26" s="4">
        <f t="shared" si="3"/>
        <v>24</v>
      </c>
      <c r="B26" s="34">
        <f>SUM(C$3:C26)/C$1</f>
        <v>0.70374984704035326</v>
      </c>
      <c r="C26" s="10">
        <f>SUMIF(Monthly!A$3:A$362, Yearly!A26, Monthly!D$3:D$362)</f>
        <v>33490.161713530935</v>
      </c>
      <c r="D26" s="10">
        <f>SUMIF(Monthly!A$3:A$362, Yearly!A26, Monthly!E$3:E$362)</f>
        <v>17018.01790663998</v>
      </c>
      <c r="E26" s="10">
        <f t="shared" si="4"/>
        <v>50508.179620170915</v>
      </c>
      <c r="F26" s="10">
        <f t="shared" si="0"/>
        <v>23562</v>
      </c>
      <c r="G26" s="10"/>
      <c r="H26" s="19">
        <f t="shared" si="5"/>
        <v>6.3E-2</v>
      </c>
      <c r="I26" s="28">
        <v>2529775.7358699921</v>
      </c>
      <c r="J26" s="29">
        <f>I26-SUM(D$3:D26)-SUM(F$3:F26)-SUM(C27:C$32)+G26</f>
        <v>928466.16495447699</v>
      </c>
      <c r="K26" s="29">
        <f>I26-SUM(D$3:D26)-SUM(F$3:F26)-SUM(C$3:C$32)+SUM(G$3:G26)</f>
        <v>330278.79497017688</v>
      </c>
      <c r="L26" s="30">
        <f>K26/(SUM(C$3:D26)+SUM(F$3:F26)-SUM(G$3:G26))</f>
        <v>0.1695751170374501</v>
      </c>
      <c r="M26" s="29">
        <f>I26-SUM(D$3:D26)-SUM(F$3:F26)-SUM(C$3:C$32)+SUM(G$3:G26)+SUM(U$8:U26)</f>
        <v>1553206.8399947407</v>
      </c>
      <c r="N26" s="30">
        <f>M26/(SUM(C$3:D26)+SUM(F$3:F26)-SUM(G$3:G26))</f>
        <v>0.79746334214177761</v>
      </c>
      <c r="O26" s="34"/>
      <c r="P26" s="4">
        <f t="shared" si="6"/>
        <v>24</v>
      </c>
      <c r="Q26" s="28">
        <f>-1*(SUM(D26)+F26-G26-U26)</f>
        <v>42310.615560677405</v>
      </c>
      <c r="R26" s="29">
        <f t="shared" si="7"/>
        <v>96414.80814476221</v>
      </c>
      <c r="S26" s="30">
        <f>SUM(R26)/SUM(C$3:C26)</f>
        <v>0.16117827453844882</v>
      </c>
      <c r="T26" s="43">
        <f t="shared" si="1"/>
        <v>6907.552788943116</v>
      </c>
      <c r="U26" s="44">
        <f t="shared" si="2"/>
        <v>82890.633467317384</v>
      </c>
    </row>
    <row r="27" spans="1:21" x14ac:dyDescent="0.25">
      <c r="A27" s="4">
        <f t="shared" si="3"/>
        <v>25</v>
      </c>
      <c r="B27" s="34">
        <f>SUM(C$3:C27)/C$1</f>
        <v>0.74570519238278321</v>
      </c>
      <c r="C27" s="10">
        <f>SUMIF(Monthly!A$3:A$362, Yearly!A27, Monthly!D$3:D$362)</f>
        <v>35662.043541065563</v>
      </c>
      <c r="D27" s="10">
        <f>SUMIF(Monthly!A$3:A$362, Yearly!A27, Monthly!E$3:E$362)</f>
        <v>14846.136079105339</v>
      </c>
      <c r="E27" s="10">
        <f t="shared" si="4"/>
        <v>50508.1796201709</v>
      </c>
      <c r="F27" s="10">
        <f t="shared" si="0"/>
        <v>23562</v>
      </c>
      <c r="G27" s="10"/>
      <c r="H27" s="19">
        <f t="shared" si="5"/>
        <v>6.3E-2</v>
      </c>
      <c r="I27" s="28">
        <v>2560606.1184373484</v>
      </c>
      <c r="J27" s="29">
        <f>I27-SUM(D$3:D27)-SUM(F$3:F27)-SUM(C28:C$32)+G27</f>
        <v>956550.45498379355</v>
      </c>
      <c r="K27" s="29">
        <f>I27-SUM(D$3:D27)-SUM(F$3:F27)-SUM(C$3:C$32)+SUM(G$3:G27)</f>
        <v>322701.04145842791</v>
      </c>
      <c r="L27" s="30">
        <f>K27/(SUM(C$3:D27)+SUM(F$3:F27)-SUM(G$3:G27))</f>
        <v>0.15961435623073045</v>
      </c>
      <c r="M27" s="29">
        <f>I27-SUM(D$3:D27)-SUM(F$3:F27)-SUM(C$3:C$32)+SUM(G$3:G27)+SUM(U$8:U27)</f>
        <v>1631006.4389543287</v>
      </c>
      <c r="N27" s="30">
        <f>M27/(SUM(C$3:D27)+SUM(F$3:F27)-SUM(G$3:G27))</f>
        <v>0.80672823857436704</v>
      </c>
      <c r="O27" s="34"/>
      <c r="P27" s="4">
        <f t="shared" si="6"/>
        <v>25</v>
      </c>
      <c r="Q27" s="28">
        <f>-1*(SUM(D27)+F27-G27-U27)</f>
        <v>46969.216392231574</v>
      </c>
      <c r="R27" s="29">
        <f t="shared" si="7"/>
        <v>143384.02453699379</v>
      </c>
      <c r="S27" s="30">
        <f>SUM(R27)/SUM(C$3:C27)</f>
        <v>0.22621149673313654</v>
      </c>
      <c r="T27" s="43">
        <f t="shared" si="1"/>
        <v>7114.7793726114096</v>
      </c>
      <c r="U27" s="44">
        <f t="shared" si="2"/>
        <v>85377.352471336912</v>
      </c>
    </row>
    <row r="28" spans="1:21" x14ac:dyDescent="0.25">
      <c r="A28" s="4">
        <f t="shared" si="3"/>
        <v>26</v>
      </c>
      <c r="B28" s="34">
        <f>SUM(C$3:C28)/C$1</f>
        <v>0.79038139804522634</v>
      </c>
      <c r="C28" s="10">
        <f>SUMIF(Monthly!A$3:A$362, Yearly!A28, Monthly!D$3:D$362)</f>
        <v>37974.77481307659</v>
      </c>
      <c r="D28" s="10">
        <f>SUMIF(Monthly!A$3:A$362, Yearly!A28, Monthly!E$3:E$362)</f>
        <v>12533.404807094319</v>
      </c>
      <c r="E28" s="10">
        <f t="shared" si="4"/>
        <v>50508.179620170908</v>
      </c>
      <c r="F28" s="10">
        <f t="shared" si="0"/>
        <v>23562</v>
      </c>
      <c r="G28" s="10"/>
      <c r="H28" s="19">
        <f t="shared" si="5"/>
        <v>6.3E-2</v>
      </c>
      <c r="I28" s="28">
        <v>2664031.4074464999</v>
      </c>
      <c r="J28" s="29">
        <f>I28-SUM(D$3:D28)-SUM(F$3:F28)-SUM(C29:C$32)+G28</f>
        <v>1061855.1139989272</v>
      </c>
      <c r="K28" s="29">
        <f>I28-SUM(D$3:D28)-SUM(F$3:F28)-SUM(C$3:C$32)+SUM(G$3:G28)</f>
        <v>390030.92566048494</v>
      </c>
      <c r="L28" s="30">
        <f>K28/(SUM(C$3:D28)+SUM(F$3:F28)-SUM(G$3:G28))</f>
        <v>0.18609902403588283</v>
      </c>
      <c r="M28" s="29">
        <f>I28-SUM(D$3:D28)-SUM(F$3:F28)-SUM(C$3:C$32)+SUM(G$3:G28)+SUM(U$8:U28)</f>
        <v>1786274.9962018626</v>
      </c>
      <c r="N28" s="30">
        <f>M28/(SUM(C$3:D28)+SUM(F$3:F28)-SUM(G$3:G28))</f>
        <v>0.85230173194583081</v>
      </c>
      <c r="O28" s="34"/>
      <c r="P28" s="4">
        <f t="shared" si="6"/>
        <v>26</v>
      </c>
      <c r="Q28" s="28">
        <f>-1*(SUM(D28)+F28-G28-U28)</f>
        <v>51843.268238382698</v>
      </c>
      <c r="R28" s="29">
        <f t="shared" si="7"/>
        <v>195227.2927753765</v>
      </c>
      <c r="S28" s="30">
        <f>SUM(R28)/SUM(C$3:C28)</f>
        <v>0.29059283092830168</v>
      </c>
      <c r="T28" s="43">
        <f t="shared" si="1"/>
        <v>7328.2227537897516</v>
      </c>
      <c r="U28" s="44">
        <f t="shared" si="2"/>
        <v>87938.673045477015</v>
      </c>
    </row>
    <row r="29" spans="1:21" x14ac:dyDescent="0.25">
      <c r="A29" s="4">
        <f t="shared" si="3"/>
        <v>27</v>
      </c>
      <c r="B29" s="34">
        <f>SUM(C$3:C29)/C$1</f>
        <v>0.83795491546243028</v>
      </c>
      <c r="C29" s="10">
        <f>SUMIF(Monthly!A$3:A$362, Yearly!A29, Monthly!D$3:D$362)</f>
        <v>40437.489804623445</v>
      </c>
      <c r="D29" s="10">
        <f>SUMIF(Monthly!A$3:A$362, Yearly!A29, Monthly!E$3:E$362)</f>
        <v>10070.689815547474</v>
      </c>
      <c r="E29" s="10">
        <f t="shared" si="4"/>
        <v>50508.179620170922</v>
      </c>
      <c r="F29" s="10">
        <f t="shared" si="0"/>
        <v>23562</v>
      </c>
      <c r="G29" s="10"/>
      <c r="H29" s="19">
        <f t="shared" si="5"/>
        <v>6.3E-2</v>
      </c>
      <c r="I29" s="28">
        <v>2771803.4916857658</v>
      </c>
      <c r="J29" s="29">
        <f>I29-SUM(D$3:D29)-SUM(F$3:F29)-SUM(C30:C$32)+G29</f>
        <v>1176431.9982272692</v>
      </c>
      <c r="K29" s="29">
        <f>I29-SUM(D$3:D29)-SUM(F$3:F29)-SUM(C$3:C$32)+SUM(G$3:G29)</f>
        <v>464170.3200842035</v>
      </c>
      <c r="L29" s="30">
        <f>K29/(SUM(C$3:D29)+SUM(F$3:F29)-SUM(G$3:G29))</f>
        <v>0.21391373878731221</v>
      </c>
      <c r="M29" s="29">
        <f>I29-SUM(D$3:D29)-SUM(F$3:F29)-SUM(C$3:C$32)+SUM(G$3:G29)+SUM(U$8:U29)</f>
        <v>1950991.2238624224</v>
      </c>
      <c r="N29" s="30">
        <f>M29/(SUM(C$3:D29)+SUM(F$3:F29)-SUM(G$3:G29))</f>
        <v>0.89911786467074395</v>
      </c>
      <c r="O29" s="34"/>
      <c r="P29" s="4">
        <f t="shared" si="6"/>
        <v>27</v>
      </c>
      <c r="Q29" s="28">
        <f>-1*(SUM(D29)+F29-G29-U29)</f>
        <v>56944.143421293862</v>
      </c>
      <c r="R29" s="29">
        <f t="shared" si="7"/>
        <v>252171.43619667034</v>
      </c>
      <c r="S29" s="30">
        <f>SUM(R29)/SUM(C$3:C29)</f>
        <v>0.3540432455303581</v>
      </c>
      <c r="T29" s="43">
        <f t="shared" si="1"/>
        <v>7548.0694364034443</v>
      </c>
      <c r="U29" s="44">
        <f t="shared" si="2"/>
        <v>90576.833236841339</v>
      </c>
    </row>
    <row r="30" spans="1:21" x14ac:dyDescent="0.25">
      <c r="A30" s="4">
        <f t="shared" si="3"/>
        <v>28</v>
      </c>
      <c r="B30" s="34">
        <f>SUM(C$3:C30)/C$1</f>
        <v>0.88861363918093994</v>
      </c>
      <c r="C30" s="10">
        <f>SUMIF(Monthly!A$3:A$362, Yearly!A30, Monthly!D$3:D$362)</f>
        <v>43059.915160733159</v>
      </c>
      <c r="D30" s="10">
        <f>SUMIF(Monthly!A$3:A$362, Yearly!A30, Monthly!E$3:E$362)</f>
        <v>7448.2644594377498</v>
      </c>
      <c r="E30" s="10">
        <f t="shared" si="4"/>
        <v>50508.179620170908</v>
      </c>
      <c r="F30" s="10">
        <f t="shared" si="0"/>
        <v>23562</v>
      </c>
      <c r="G30" s="10"/>
      <c r="H30" s="19">
        <f t="shared" si="5"/>
        <v>6.3E-2</v>
      </c>
      <c r="I30" s="28">
        <v>3071691.6106220274</v>
      </c>
      <c r="J30" s="29">
        <f>I30-SUM(D$3:D30)-SUM(F$3:F30)-SUM(C31:C$32)+G30</f>
        <v>1488369.7678648264</v>
      </c>
      <c r="K30" s="29">
        <f>I30-SUM(D$3:D30)-SUM(F$3:F30)-SUM(C$3:C$32)+SUM(G$3:G30)</f>
        <v>733048.17456102744</v>
      </c>
      <c r="L30" s="30">
        <f>K30/(SUM(C$3:D30)+SUM(F$3:F30)-SUM(G$3:G30))</f>
        <v>0.32667540044888155</v>
      </c>
      <c r="M30" s="29">
        <f>I30-SUM(D$3:D30)-SUM(F$3:F30)-SUM(C$3:C$32)+SUM(G$3:G30)+SUM(U$8:U30)</f>
        <v>2313163.2165731927</v>
      </c>
      <c r="N30" s="30">
        <f>M30/(SUM(C$3:D30)+SUM(F$3:F30)-SUM(G$3:G30))</f>
        <v>1.0308374623948555</v>
      </c>
      <c r="O30" s="34"/>
      <c r="P30" s="4">
        <f t="shared" si="6"/>
        <v>28</v>
      </c>
      <c r="Q30" s="28">
        <f>-1*(SUM(D30)+F30-G30-U30)</f>
        <v>62283.873774508829</v>
      </c>
      <c r="R30" s="29">
        <f t="shared" si="7"/>
        <v>314455.30997117917</v>
      </c>
      <c r="S30" s="30">
        <f>SUM(R30)/SUM(C$3:C30)</f>
        <v>0.41631976731360526</v>
      </c>
      <c r="T30" s="43">
        <f t="shared" si="1"/>
        <v>7774.5115194955479</v>
      </c>
      <c r="U30" s="44">
        <f t="shared" si="2"/>
        <v>93294.138233946578</v>
      </c>
    </row>
    <row r="31" spans="1:21" x14ac:dyDescent="0.25">
      <c r="A31" s="4">
        <f t="shared" si="3"/>
        <v>29</v>
      </c>
      <c r="B31" s="34">
        <f>SUM(C$3:C31)/C$1</f>
        <v>0.94255764896021743</v>
      </c>
      <c r="C31" s="10">
        <f>SUMIF(Monthly!A$3:A$362, Yearly!A31, Monthly!D$3:D$362)</f>
        <v>45852.408312385938</v>
      </c>
      <c r="D31" s="10">
        <f>SUMIF(Monthly!A$3:A$362, Yearly!A31, Monthly!E$3:E$362)</f>
        <v>4655.771307784973</v>
      </c>
      <c r="E31" s="10">
        <f t="shared" si="4"/>
        <v>50508.179620170908</v>
      </c>
      <c r="F31" s="10">
        <f t="shared" si="0"/>
        <v>23562</v>
      </c>
      <c r="G31" s="10"/>
      <c r="H31" s="19">
        <f t="shared" si="5"/>
        <v>6.3E-2</v>
      </c>
      <c r="I31" s="28">
        <v>3329071.0255460017</v>
      </c>
      <c r="J31" s="29">
        <f>I31-SUM(D$3:D31)-SUM(F$3:F31)-SUM(C32:C$32)+G31</f>
        <v>1763383.8197934015</v>
      </c>
      <c r="K31" s="29">
        <f>I31-SUM(D$3:D31)-SUM(F$3:F31)-SUM(C$3:C$32)+SUM(G$3:G31)</f>
        <v>962209.81817721669</v>
      </c>
      <c r="L31" s="30">
        <f>K31/(SUM(C$3:D31)+SUM(F$3:F31)-SUM(G$3:G31))</f>
        <v>0.4150971540240575</v>
      </c>
      <c r="M31" s="29">
        <f>I31-SUM(D$3:D31)-SUM(F$3:F31)-SUM(C$3:C$32)+SUM(G$3:G31)+SUM(U$8:U31)</f>
        <v>2638417.8225703472</v>
      </c>
      <c r="N31" s="30">
        <f>M31/(SUM(C$3:D31)+SUM(F$3:F31)-SUM(G$3:G31))</f>
        <v>1.1382130057143021</v>
      </c>
      <c r="O31" s="34"/>
      <c r="P31" s="4">
        <f t="shared" si="6"/>
        <v>29</v>
      </c>
      <c r="Q31" s="28">
        <f>-1*(SUM(D31)+F31-G31-U31)</f>
        <v>67875.191073179987</v>
      </c>
      <c r="R31" s="29">
        <f t="shared" si="7"/>
        <v>382330.50104435917</v>
      </c>
      <c r="S31" s="30">
        <f>SUM(R31)/SUM(C$3:C31)</f>
        <v>0.47721281553457184</v>
      </c>
      <c r="T31" s="43">
        <f t="shared" si="1"/>
        <v>8007.746865080414</v>
      </c>
      <c r="U31" s="44">
        <f t="shared" si="2"/>
        <v>96092.962380964964</v>
      </c>
    </row>
    <row r="32" spans="1:21" ht="15.75" thickBot="1" x14ac:dyDescent="0.3">
      <c r="A32" s="5">
        <f>A31+1</f>
        <v>30</v>
      </c>
      <c r="B32" s="35">
        <f>SUM(C$3:C32)/C$1</f>
        <v>1.000000000000016</v>
      </c>
      <c r="C32" s="9">
        <f>SUMIF(Monthly!A$3:A$362, Yearly!A32, Monthly!D$3:D$362)</f>
        <v>48825.998383828715</v>
      </c>
      <c r="D32" s="9">
        <f>SUMIF(Monthly!A$3:A$362, Yearly!A32, Monthly!E$3:E$362)</f>
        <v>1682.1812363421868</v>
      </c>
      <c r="E32" s="9">
        <f t="shared" si="4"/>
        <v>50508.1796201709</v>
      </c>
      <c r="F32" s="9">
        <f t="shared" si="0"/>
        <v>23562</v>
      </c>
      <c r="G32" s="9"/>
      <c r="H32" s="7">
        <f t="shared" si="5"/>
        <v>6.3E-2</v>
      </c>
      <c r="I32" s="31">
        <v>3444545.2345111677</v>
      </c>
      <c r="J32" s="32">
        <f>I32-SUM(D$3:D32)-SUM(F$3:F32)-SUM(C$32:C33)+G32</f>
        <v>1853613.8475222255</v>
      </c>
      <c r="K32" s="32">
        <f>I32-SUM(D$3:D32)-SUM(F$3:F32)-SUM(C$3:C$32)+SUM(G$3:G32)</f>
        <v>1052439.8459060406</v>
      </c>
      <c r="L32" s="33">
        <f>K32/(SUM(C$3:D32)+SUM(F$3:F32)-SUM(G$3:G32))</f>
        <v>0.43996382890125685</v>
      </c>
      <c r="M32" s="32">
        <f>I32-SUM(D$3:D32)-SUM(F$3:F32)-SUM(C$3:C$32)+SUM(G$3:G32)+SUM(U$8:U32)</f>
        <v>2827623.6015515653</v>
      </c>
      <c r="N32" s="33">
        <f>M32/(SUM(C$3:D32)+SUM(F$3:F32)-SUM(G$3:G32))</f>
        <v>1.1820648099456836</v>
      </c>
      <c r="O32" s="34"/>
      <c r="P32" s="5">
        <f>P31+1</f>
        <v>30</v>
      </c>
      <c r="Q32" s="31">
        <f>-1*(SUM(D32)+F32-G32-U32)</f>
        <v>73731.57001605173</v>
      </c>
      <c r="R32" s="32">
        <f t="shared" si="7"/>
        <v>456062.07106041093</v>
      </c>
      <c r="S32" s="33">
        <f>SUM(R32)/SUM(C$3:C32)</f>
        <v>0.53654361301223963</v>
      </c>
      <c r="T32" s="45">
        <f t="shared" si="1"/>
        <v>8247.9792710328256</v>
      </c>
      <c r="U32" s="46">
        <f t="shared" si="2"/>
        <v>98975.751252393908</v>
      </c>
    </row>
    <row r="33" spans="3:21" ht="15.75" thickBot="1" x14ac:dyDescent="0.3">
      <c r="C33" s="2"/>
      <c r="E33" s="2"/>
      <c r="F33" s="2"/>
      <c r="Q33" s="15"/>
      <c r="T33" s="1"/>
      <c r="U33" s="1"/>
    </row>
    <row r="34" spans="3:21" ht="15.75" thickBot="1" x14ac:dyDescent="0.3">
      <c r="C34" s="3"/>
      <c r="D34" s="18"/>
      <c r="E34" s="18"/>
      <c r="F34" s="2"/>
      <c r="Q34" s="15"/>
      <c r="T34" s="1"/>
      <c r="U34" s="1"/>
    </row>
    <row r="35" spans="3:21" x14ac:dyDescent="0.25">
      <c r="F35" s="2"/>
      <c r="Q35" s="15"/>
      <c r="T35" s="1"/>
      <c r="U35" s="1"/>
    </row>
    <row r="36" spans="3:21" x14ac:dyDescent="0.25">
      <c r="F36" s="2"/>
      <c r="Q36" s="15"/>
      <c r="T36" s="1"/>
      <c r="U36" s="1"/>
    </row>
    <row r="37" spans="3:21" x14ac:dyDescent="0.25">
      <c r="F37" s="2"/>
      <c r="Q37" s="15"/>
      <c r="T37" s="1"/>
      <c r="U37" s="1"/>
    </row>
    <row r="38" spans="3:21" x14ac:dyDescent="0.25">
      <c r="F38" s="2"/>
      <c r="Q38" s="15"/>
      <c r="T38" s="1"/>
      <c r="U38" s="1"/>
    </row>
    <row r="39" spans="3:21" x14ac:dyDescent="0.25">
      <c r="F39" s="2"/>
      <c r="Q39" s="15"/>
      <c r="T39" s="1"/>
      <c r="U39" s="1"/>
    </row>
    <row r="40" spans="3:21" x14ac:dyDescent="0.25">
      <c r="F40" s="2"/>
      <c r="Q40" s="15"/>
      <c r="T40" s="1"/>
      <c r="U40" s="1"/>
    </row>
    <row r="41" spans="3:21" x14ac:dyDescent="0.25">
      <c r="F41" s="2"/>
      <c r="Q41" s="15"/>
      <c r="T41" s="1"/>
      <c r="U41" s="1"/>
    </row>
    <row r="42" spans="3:21" x14ac:dyDescent="0.25">
      <c r="F42" s="2"/>
      <c r="Q42" s="15"/>
      <c r="T42" s="1"/>
      <c r="U42" s="1"/>
    </row>
    <row r="43" spans="3:21" x14ac:dyDescent="0.25">
      <c r="F43" s="2"/>
      <c r="Q43" s="15"/>
      <c r="T43" s="1"/>
      <c r="U43" s="1"/>
    </row>
  </sheetData>
  <conditionalFormatting sqref="K3:K3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M3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O3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3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3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:Q32">
    <cfRule type="cellIs" dxfId="3" priority="5" operator="lessThan">
      <formula>0</formula>
    </cfRule>
    <cfRule type="cellIs" dxfId="2" priority="6" operator="greaterThan">
      <formula>0</formula>
    </cfRule>
  </conditionalFormatting>
  <conditionalFormatting sqref="R3:R32">
    <cfRule type="cellIs" dxfId="1" priority="3" operator="lessThan">
      <formula>0</formula>
    </cfRule>
    <cfRule type="cellIs" dxfId="0" priority="4" operator="greaterThan">
      <formula>0</formula>
    </cfRule>
  </conditionalFormatting>
  <conditionalFormatting sqref="S3:S3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L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B629A-70AD-4D43-B3B3-02DCF64357D1}">
  <dimension ref="A1:X362"/>
  <sheetViews>
    <sheetView workbookViewId="0">
      <selection activeCell="M19" sqref="M19"/>
    </sheetView>
  </sheetViews>
  <sheetFormatPr defaultRowHeight="15" x14ac:dyDescent="0.25"/>
  <cols>
    <col min="2" max="2" width="11.140625" bestFit="1" customWidth="1"/>
    <col min="3" max="3" width="13.28515625" customWidth="1"/>
    <col min="4" max="4" width="12.28515625" customWidth="1"/>
    <col min="5" max="5" width="17.85546875" bestFit="1" customWidth="1"/>
    <col min="6" max="6" width="17.85546875" customWidth="1"/>
    <col min="7" max="7" width="20.5703125" customWidth="1"/>
    <col min="8" max="8" width="14.140625" bestFit="1" customWidth="1"/>
    <col min="9" max="9" width="14.7109375" customWidth="1"/>
    <col min="10" max="10" width="14.28515625" bestFit="1" customWidth="1"/>
    <col min="11" max="11" width="16.140625" customWidth="1"/>
    <col min="12" max="12" width="14.28515625" bestFit="1" customWidth="1"/>
    <col min="13" max="13" width="17.5703125" customWidth="1"/>
    <col min="14" max="14" width="19.85546875" style="16" bestFit="1" customWidth="1"/>
    <col min="16" max="16" width="25.42578125" customWidth="1"/>
    <col min="17" max="17" width="12.7109375" bestFit="1" customWidth="1"/>
    <col min="18" max="18" width="14.28515625" bestFit="1" customWidth="1"/>
    <col min="19" max="19" width="10.85546875" bestFit="1" customWidth="1"/>
    <col min="23" max="23" width="10.140625" bestFit="1" customWidth="1"/>
    <col min="24" max="24" width="11.140625" bestFit="1" customWidth="1"/>
  </cols>
  <sheetData>
    <row r="1" spans="1:24" ht="15.75" thickBot="1" x14ac:dyDescent="0.3">
      <c r="C1" s="36" t="s">
        <v>16</v>
      </c>
      <c r="D1" s="22">
        <v>850000</v>
      </c>
      <c r="E1" s="54" t="s">
        <v>15</v>
      </c>
      <c r="F1" s="16">
        <v>0.2</v>
      </c>
      <c r="G1" s="36" t="s">
        <v>23</v>
      </c>
      <c r="H1" s="13">
        <f>((SUM(F3:G3)))</f>
        <v>6172.5149683475756</v>
      </c>
    </row>
    <row r="2" spans="1:24" ht="30.75" thickBot="1" x14ac:dyDescent="0.3">
      <c r="A2" s="39" t="s">
        <v>12</v>
      </c>
      <c r="B2" s="21" t="s">
        <v>22</v>
      </c>
      <c r="C2" s="24" t="s">
        <v>8</v>
      </c>
      <c r="D2" s="25" t="s">
        <v>0</v>
      </c>
      <c r="E2" s="25" t="s">
        <v>4</v>
      </c>
      <c r="F2" s="24" t="s">
        <v>21</v>
      </c>
      <c r="G2" s="51" t="s">
        <v>13</v>
      </c>
      <c r="H2" s="52" t="s">
        <v>17</v>
      </c>
      <c r="I2" s="26" t="s">
        <v>2</v>
      </c>
      <c r="K2" s="11"/>
      <c r="M2" s="11"/>
      <c r="P2" s="11"/>
      <c r="W2" s="11"/>
      <c r="X2" s="11"/>
    </row>
    <row r="3" spans="1:24" x14ac:dyDescent="0.25">
      <c r="A3" s="4">
        <f>ROUNDUP(B3/12,0)</f>
        <v>1</v>
      </c>
      <c r="B3" s="8">
        <v>1</v>
      </c>
      <c r="C3" s="34">
        <f>SUM(D$3:D3)/D$1</f>
        <v>0.20075178231570301</v>
      </c>
      <c r="D3" s="10">
        <f>(F$1*D1)+F3-E3</f>
        <v>170639.01496834756</v>
      </c>
      <c r="E3" s="10">
        <f>(((1-F$1)*D$1)*(I3/12))</f>
        <v>3570</v>
      </c>
      <c r="F3" s="10">
        <f>((1-F$1)*D$1)*(((I3/12)*((1+(I3/12))^(12*30)))/(((1+(I3/12))^(12*30))-1))</f>
        <v>4209.0149683475756</v>
      </c>
      <c r="G3" s="10">
        <f>(9800+11262+2500)/12</f>
        <v>1963.5</v>
      </c>
      <c r="H3" s="10"/>
      <c r="I3" s="19">
        <v>6.3E-2</v>
      </c>
      <c r="J3" s="15"/>
      <c r="K3" s="15"/>
      <c r="L3" s="15"/>
      <c r="M3" s="15"/>
      <c r="N3" s="20"/>
      <c r="P3" s="15"/>
      <c r="Q3" s="15"/>
      <c r="R3" s="15"/>
      <c r="S3" s="17"/>
      <c r="W3" s="1"/>
      <c r="X3" s="1"/>
    </row>
    <row r="4" spans="1:24" x14ac:dyDescent="0.25">
      <c r="A4" s="4">
        <f t="shared" ref="A4:A67" si="0">ROUNDUP(B4/12,0)</f>
        <v>1</v>
      </c>
      <c r="B4" s="8">
        <f>B3+1</f>
        <v>2</v>
      </c>
      <c r="C4" s="34">
        <f>SUM(D$3:D4)/D$1</f>
        <v>0.20150751148856347</v>
      </c>
      <c r="D4" s="10">
        <f>F4-E4</f>
        <v>642.36979693139983</v>
      </c>
      <c r="E4" s="53">
        <f>((((1-F$1)*D$1)-SUM(D$3:D3)+((F$1)*D$1))*(I4/12))</f>
        <v>3566.6451714161758</v>
      </c>
      <c r="F4" s="10">
        <f>((1-F$1)*D$1)*(((I4/12)*((1+(I4/12))^(12*30)))/(((1+(I4/12))^(12*30))-1))</f>
        <v>4209.0149683475756</v>
      </c>
      <c r="G4" s="10">
        <f t="shared" ref="G4:G67" si="1">(9800+11262+2500)/12</f>
        <v>1963.5</v>
      </c>
      <c r="H4" s="10"/>
      <c r="I4" s="19">
        <v>6.3E-2</v>
      </c>
      <c r="J4" s="15"/>
      <c r="K4" s="15"/>
      <c r="L4" s="15"/>
      <c r="M4" s="15"/>
      <c r="N4" s="20"/>
      <c r="P4" s="15"/>
      <c r="Q4" s="15"/>
      <c r="R4" s="15"/>
      <c r="S4" s="17"/>
      <c r="W4" s="1"/>
      <c r="X4" s="1"/>
    </row>
    <row r="5" spans="1:24" x14ac:dyDescent="0.25">
      <c r="A5" s="4">
        <f t="shared" si="0"/>
        <v>1</v>
      </c>
      <c r="B5" s="8">
        <f t="shared" ref="B5:B31" si="2">B4+1</f>
        <v>3</v>
      </c>
      <c r="C5" s="34">
        <f>SUM(D$3:D5)/D$1</f>
        <v>0.20226720823958147</v>
      </c>
      <c r="D5" s="10">
        <f t="shared" ref="D5:D68" si="3">F5-E5</f>
        <v>645.74223836529018</v>
      </c>
      <c r="E5" s="53">
        <f>((((1-F$1)*D$1)-SUM(D$3:D4)+((F$1)*D$1))*(I5/12))</f>
        <v>3563.2727299822855</v>
      </c>
      <c r="F5" s="10">
        <f t="shared" ref="F5:F68" si="4">((1-F$1)*D$1)*(((I5/12)*((1+(I5/12))^(12*30)))/(((1+(I5/12))^(12*30))-1))</f>
        <v>4209.0149683475756</v>
      </c>
      <c r="G5" s="10">
        <f t="shared" si="1"/>
        <v>1963.5</v>
      </c>
      <c r="H5" s="10"/>
      <c r="I5" s="19">
        <v>6.3E-2</v>
      </c>
      <c r="J5" s="15"/>
      <c r="K5" s="15"/>
      <c r="L5" s="15"/>
      <c r="M5" s="15"/>
      <c r="N5" s="17"/>
      <c r="P5" s="15"/>
      <c r="Q5" s="15"/>
      <c r="R5" s="15"/>
      <c r="S5" s="17"/>
      <c r="W5" s="1"/>
      <c r="X5" s="1"/>
    </row>
    <row r="6" spans="1:24" x14ac:dyDescent="0.25">
      <c r="A6" s="4">
        <f t="shared" si="0"/>
        <v>1</v>
      </c>
      <c r="B6" s="8">
        <f t="shared" si="2"/>
        <v>4</v>
      </c>
      <c r="C6" s="34">
        <f>SUM(D$3:D6)/D$1</f>
        <v>0.2030308933985423</v>
      </c>
      <c r="D6" s="10">
        <f t="shared" si="3"/>
        <v>649.13238511670761</v>
      </c>
      <c r="E6" s="53">
        <f>((((1-F$1)*D$1)-SUM(D$3:D5)+((F$1)*D$1))*(I6/12))</f>
        <v>3559.882583230868</v>
      </c>
      <c r="F6" s="10">
        <f t="shared" si="4"/>
        <v>4209.0149683475756</v>
      </c>
      <c r="G6" s="10">
        <f t="shared" si="1"/>
        <v>1963.5</v>
      </c>
      <c r="H6" s="10"/>
      <c r="I6" s="19">
        <v>6.3E-2</v>
      </c>
      <c r="J6" s="15"/>
      <c r="K6" s="15"/>
      <c r="L6" s="15"/>
      <c r="M6" s="15"/>
      <c r="N6" s="17"/>
      <c r="P6" s="15"/>
      <c r="Q6" s="15"/>
      <c r="R6" s="15"/>
      <c r="S6" s="17"/>
      <c r="W6" s="1"/>
      <c r="X6" s="1"/>
    </row>
    <row r="7" spans="1:24" x14ac:dyDescent="0.25">
      <c r="A7" s="4">
        <f t="shared" si="0"/>
        <v>1</v>
      </c>
      <c r="B7" s="8">
        <f t="shared" si="2"/>
        <v>5</v>
      </c>
      <c r="C7" s="34">
        <f>SUM(D$3:D7)/D$1</f>
        <v>0.20379858790458769</v>
      </c>
      <c r="D7" s="10">
        <f t="shared" si="3"/>
        <v>652.54033013856997</v>
      </c>
      <c r="E7" s="53">
        <f>((((1-F$1)*D$1)-SUM(D$3:D6)+((F$1)*D$1))*(I7/12))</f>
        <v>3556.4746382090057</v>
      </c>
      <c r="F7" s="10">
        <f t="shared" si="4"/>
        <v>4209.0149683475756</v>
      </c>
      <c r="G7" s="10">
        <f t="shared" si="1"/>
        <v>1963.5</v>
      </c>
      <c r="H7" s="10"/>
      <c r="I7" s="19">
        <v>6.3E-2</v>
      </c>
      <c r="J7" s="15"/>
      <c r="K7" s="15"/>
      <c r="L7" s="15"/>
      <c r="M7" s="15"/>
      <c r="N7" s="17"/>
      <c r="P7" s="15"/>
      <c r="Q7" s="15"/>
      <c r="R7" s="15"/>
      <c r="S7" s="17"/>
      <c r="W7" s="1"/>
      <c r="X7" s="1"/>
    </row>
    <row r="8" spans="1:24" x14ac:dyDescent="0.25">
      <c r="A8" s="4">
        <f t="shared" si="0"/>
        <v>1</v>
      </c>
      <c r="B8" s="8">
        <f t="shared" si="2"/>
        <v>6</v>
      </c>
      <c r="C8" s="34">
        <f>SUM(D$3:D8)/D$1</f>
        <v>0.20457031280678981</v>
      </c>
      <c r="D8" s="10">
        <f t="shared" si="3"/>
        <v>655.96616687179812</v>
      </c>
      <c r="E8" s="53">
        <f>((((1-F$1)*D$1)-SUM(D$3:D7)+((F$1)*D$1))*(I8/12))</f>
        <v>3553.0488014757775</v>
      </c>
      <c r="F8" s="10">
        <f t="shared" si="4"/>
        <v>4209.0149683475756</v>
      </c>
      <c r="G8" s="10">
        <f t="shared" si="1"/>
        <v>1963.5</v>
      </c>
      <c r="H8" s="10"/>
      <c r="I8" s="19">
        <v>6.3E-2</v>
      </c>
      <c r="J8" s="15"/>
      <c r="K8" s="15"/>
      <c r="L8" s="15"/>
      <c r="M8" s="15"/>
      <c r="N8" s="20"/>
      <c r="P8" s="15"/>
      <c r="Q8" s="15"/>
      <c r="R8" s="15"/>
      <c r="S8" s="17"/>
      <c r="W8" s="1"/>
      <c r="X8" s="1"/>
    </row>
    <row r="9" spans="1:24" x14ac:dyDescent="0.25">
      <c r="A9" s="4">
        <f t="shared" si="0"/>
        <v>1</v>
      </c>
      <c r="B9" s="8">
        <f t="shared" si="2"/>
        <v>7</v>
      </c>
      <c r="C9" s="34">
        <f>SUM(D$3:D9)/D$1</f>
        <v>0.2053460892647285</v>
      </c>
      <c r="D9" s="10">
        <f t="shared" si="3"/>
        <v>659.40998924787527</v>
      </c>
      <c r="E9" s="53">
        <f>((((1-F$1)*D$1)-SUM(D$3:D8)+((F$1)*D$1))*(I9/12))</f>
        <v>3549.6049790997004</v>
      </c>
      <c r="F9" s="10">
        <f t="shared" si="4"/>
        <v>4209.0149683475756</v>
      </c>
      <c r="G9" s="10">
        <f t="shared" si="1"/>
        <v>1963.5</v>
      </c>
      <c r="H9" s="10"/>
      <c r="I9" s="19">
        <v>6.3E-2</v>
      </c>
      <c r="J9" s="15"/>
      <c r="K9" s="15"/>
      <c r="L9" s="15"/>
      <c r="M9" s="15"/>
      <c r="N9" s="17"/>
      <c r="P9" s="15"/>
      <c r="Q9" s="15"/>
      <c r="R9" s="15"/>
      <c r="S9" s="17"/>
      <c r="W9" s="1"/>
      <c r="X9" s="1"/>
    </row>
    <row r="10" spans="1:24" x14ac:dyDescent="0.25">
      <c r="A10" s="4">
        <f t="shared" si="0"/>
        <v>1</v>
      </c>
      <c r="B10" s="8">
        <f t="shared" si="2"/>
        <v>8</v>
      </c>
      <c r="C10" s="34">
        <f>SUM(D$3:D10)/D$1</f>
        <v>0.20612593854907135</v>
      </c>
      <c r="D10" s="10">
        <f t="shared" si="3"/>
        <v>662.87189169142675</v>
      </c>
      <c r="E10" s="53">
        <f>((((1-F$1)*D$1)-SUM(D$3:D9)+((F$1)*D$1))*(I10/12))</f>
        <v>3546.1430766561489</v>
      </c>
      <c r="F10" s="10">
        <f t="shared" si="4"/>
        <v>4209.0149683475756</v>
      </c>
      <c r="G10" s="10">
        <f t="shared" si="1"/>
        <v>1963.5</v>
      </c>
      <c r="H10" s="10"/>
      <c r="I10" s="19">
        <v>6.3E-2</v>
      </c>
      <c r="J10" s="15"/>
      <c r="K10" s="15"/>
      <c r="L10" s="15"/>
      <c r="M10" s="15"/>
      <c r="N10" s="17"/>
      <c r="P10" s="15"/>
      <c r="Q10" s="15"/>
      <c r="R10" s="15"/>
      <c r="S10" s="17"/>
      <c r="W10" s="1"/>
      <c r="X10" s="1"/>
    </row>
    <row r="11" spans="1:24" x14ac:dyDescent="0.25">
      <c r="A11" s="4">
        <f t="shared" si="0"/>
        <v>1</v>
      </c>
      <c r="B11" s="8">
        <f t="shared" si="2"/>
        <v>9</v>
      </c>
      <c r="C11" s="34">
        <f>SUM(D$3:D11)/D$1</f>
        <v>0.20690988204215702</v>
      </c>
      <c r="D11" s="10">
        <f t="shared" si="3"/>
        <v>666.35196912280617</v>
      </c>
      <c r="E11" s="53">
        <f>((((1-F$1)*D$1)-SUM(D$3:D10)+((F$1)*D$1))*(I11/12))</f>
        <v>3542.6629992247695</v>
      </c>
      <c r="F11" s="10">
        <f t="shared" si="4"/>
        <v>4209.0149683475756</v>
      </c>
      <c r="G11" s="10">
        <f t="shared" si="1"/>
        <v>1963.5</v>
      </c>
      <c r="H11" s="10"/>
      <c r="I11" s="19">
        <v>6.3E-2</v>
      </c>
      <c r="J11" s="15"/>
      <c r="K11" s="15"/>
      <c r="L11" s="15"/>
      <c r="M11" s="15"/>
      <c r="N11" s="17"/>
      <c r="P11" s="15"/>
      <c r="Q11" s="15"/>
      <c r="R11" s="15"/>
      <c r="S11" s="17"/>
      <c r="W11" s="1"/>
      <c r="X11" s="1"/>
    </row>
    <row r="12" spans="1:24" x14ac:dyDescent="0.25">
      <c r="A12" s="4">
        <f t="shared" si="0"/>
        <v>1</v>
      </c>
      <c r="B12" s="8">
        <f t="shared" si="2"/>
        <v>10</v>
      </c>
      <c r="C12" s="34">
        <f>SUM(D$3:D12)/D$1</f>
        <v>0.20769794123858137</v>
      </c>
      <c r="D12" s="10">
        <f t="shared" si="3"/>
        <v>669.85031696070155</v>
      </c>
      <c r="E12" s="53">
        <f>((((1-F$1)*D$1)-SUM(D$3:D11)+((F$1)*D$1))*(I12/12))</f>
        <v>3539.1646513868741</v>
      </c>
      <c r="F12" s="10">
        <f t="shared" si="4"/>
        <v>4209.0149683475756</v>
      </c>
      <c r="G12" s="10">
        <f t="shared" si="1"/>
        <v>1963.5</v>
      </c>
      <c r="H12" s="10"/>
      <c r="I12" s="19">
        <v>6.3E-2</v>
      </c>
      <c r="J12" s="15"/>
      <c r="K12" s="15"/>
      <c r="L12" s="15"/>
      <c r="M12" s="15"/>
      <c r="N12" s="17"/>
      <c r="P12" s="15"/>
      <c r="Q12" s="15"/>
      <c r="R12" s="15"/>
      <c r="S12" s="17"/>
      <c r="W12" s="1"/>
      <c r="X12" s="1"/>
    </row>
    <row r="13" spans="1:24" x14ac:dyDescent="0.25">
      <c r="A13" s="4">
        <f t="shared" si="0"/>
        <v>1</v>
      </c>
      <c r="B13" s="8">
        <f t="shared" si="2"/>
        <v>11</v>
      </c>
      <c r="C13" s="34">
        <f>SUM(D$3:D13)/D$1</f>
        <v>0.20849013774578695</v>
      </c>
      <c r="D13" s="10">
        <f t="shared" si="3"/>
        <v>673.3670311247447</v>
      </c>
      <c r="E13" s="53">
        <f>((((1-F$1)*D$1)-SUM(D$3:D12)+((F$1)*D$1))*(I13/12))</f>
        <v>3535.6479372228309</v>
      </c>
      <c r="F13" s="10">
        <f t="shared" si="4"/>
        <v>4209.0149683475756</v>
      </c>
      <c r="G13" s="10">
        <f t="shared" si="1"/>
        <v>1963.5</v>
      </c>
      <c r="H13" s="10"/>
      <c r="I13" s="19">
        <v>6.3E-2</v>
      </c>
      <c r="J13" s="15"/>
      <c r="K13" s="15"/>
      <c r="L13" s="15"/>
      <c r="M13" s="15"/>
      <c r="N13" s="17"/>
      <c r="P13" s="15"/>
      <c r="Q13" s="15"/>
      <c r="R13" s="15"/>
      <c r="S13" s="17"/>
      <c r="W13" s="1"/>
      <c r="X13" s="1"/>
    </row>
    <row r="14" spans="1:24" x14ac:dyDescent="0.25">
      <c r="A14" s="4">
        <f t="shared" si="0"/>
        <v>1</v>
      </c>
      <c r="B14" s="8">
        <f t="shared" si="2"/>
        <v>12</v>
      </c>
      <c r="C14" s="34">
        <f>SUM(D$3:D14)/D$1</f>
        <v>0.20928649328465534</v>
      </c>
      <c r="D14" s="10">
        <f t="shared" si="3"/>
        <v>676.90220803814964</v>
      </c>
      <c r="E14" s="53">
        <f>((((1-F$1)*D$1)-SUM(D$3:D13)+((F$1)*D$1))*(I14/12))</f>
        <v>3532.112760309426</v>
      </c>
      <c r="F14" s="10">
        <f t="shared" si="4"/>
        <v>4209.0149683475756</v>
      </c>
      <c r="G14" s="10">
        <f t="shared" si="1"/>
        <v>1963.5</v>
      </c>
      <c r="H14" s="10"/>
      <c r="I14" s="19">
        <v>6.3E-2</v>
      </c>
      <c r="J14" s="15"/>
      <c r="K14" s="15"/>
      <c r="L14" s="15"/>
      <c r="M14" s="15"/>
      <c r="N14" s="17"/>
      <c r="P14" s="15"/>
      <c r="Q14" s="15"/>
      <c r="R14" s="15"/>
      <c r="S14" s="17"/>
      <c r="W14" s="1"/>
      <c r="X14" s="1"/>
    </row>
    <row r="15" spans="1:24" x14ac:dyDescent="0.25">
      <c r="A15" s="4">
        <f t="shared" si="0"/>
        <v>2</v>
      </c>
      <c r="B15" s="8">
        <f t="shared" si="2"/>
        <v>13</v>
      </c>
      <c r="C15" s="34">
        <f>SUM(D$3:D15)/D$1</f>
        <v>0.21008702969010282</v>
      </c>
      <c r="D15" s="10">
        <f t="shared" si="3"/>
        <v>680.45594463034968</v>
      </c>
      <c r="E15" s="53">
        <f>((((1-F$1)*D$1)-SUM(D$3:D14)+((F$1)*D$1))*(I15/12))</f>
        <v>3528.559023717226</v>
      </c>
      <c r="F15" s="10">
        <f t="shared" si="4"/>
        <v>4209.0149683475756</v>
      </c>
      <c r="G15" s="10">
        <f t="shared" si="1"/>
        <v>1963.5</v>
      </c>
      <c r="H15" s="10"/>
      <c r="I15" s="19">
        <v>6.3E-2</v>
      </c>
      <c r="J15" s="15"/>
      <c r="K15" s="15"/>
      <c r="L15" s="15"/>
      <c r="M15" s="15"/>
      <c r="N15" s="17"/>
      <c r="P15" s="15"/>
      <c r="Q15" s="15"/>
      <c r="R15" s="15"/>
      <c r="S15" s="17"/>
      <c r="W15" s="1"/>
      <c r="X15" s="1"/>
    </row>
    <row r="16" spans="1:24" x14ac:dyDescent="0.25">
      <c r="A16" s="4">
        <f t="shared" si="0"/>
        <v>2</v>
      </c>
      <c r="B16" s="8">
        <f t="shared" si="2"/>
        <v>14</v>
      </c>
      <c r="C16" s="34">
        <f>SUM(D$3:D16)/D$1</f>
        <v>0.21089176891167888</v>
      </c>
      <c r="D16" s="10">
        <f t="shared" si="3"/>
        <v>684.02833833965951</v>
      </c>
      <c r="E16" s="53">
        <f>((((1-F$1)*D$1)-SUM(D$3:D15)+((F$1)*D$1))*(I16/12))</f>
        <v>3524.9866300079161</v>
      </c>
      <c r="F16" s="10">
        <f t="shared" si="4"/>
        <v>4209.0149683475756</v>
      </c>
      <c r="G16" s="10">
        <f t="shared" si="1"/>
        <v>1963.5</v>
      </c>
      <c r="H16" s="10"/>
      <c r="I16" s="19">
        <v>6.3E-2</v>
      </c>
      <c r="J16" s="15"/>
      <c r="K16" s="15"/>
      <c r="L16" s="15"/>
      <c r="M16" s="15"/>
      <c r="N16" s="17"/>
      <c r="P16" s="15"/>
      <c r="Q16" s="15"/>
      <c r="R16" s="15"/>
      <c r="S16" s="17"/>
      <c r="W16" s="1"/>
      <c r="X16" s="1"/>
    </row>
    <row r="17" spans="1:24" x14ac:dyDescent="0.25">
      <c r="A17" s="4">
        <f t="shared" si="0"/>
        <v>2</v>
      </c>
      <c r="B17" s="8">
        <f t="shared" si="2"/>
        <v>15</v>
      </c>
      <c r="C17" s="34">
        <f>SUM(D$3:D17)/D$1</f>
        <v>0.21170073301416822</v>
      </c>
      <c r="D17" s="10">
        <f t="shared" si="3"/>
        <v>687.61948711594277</v>
      </c>
      <c r="E17" s="53">
        <f>((((1-F$1)*D$1)-SUM(D$3:D16)+((F$1)*D$1))*(I17/12))</f>
        <v>3521.3954812316329</v>
      </c>
      <c r="F17" s="10">
        <f t="shared" si="4"/>
        <v>4209.0149683475756</v>
      </c>
      <c r="G17" s="10">
        <f t="shared" si="1"/>
        <v>1963.5</v>
      </c>
      <c r="H17" s="10"/>
      <c r="I17" s="19">
        <v>6.3E-2</v>
      </c>
      <c r="J17" s="15"/>
      <c r="K17" s="15"/>
      <c r="L17" s="15"/>
      <c r="M17" s="15"/>
      <c r="N17" s="17"/>
      <c r="P17" s="15"/>
      <c r="Q17" s="15"/>
      <c r="R17" s="15"/>
      <c r="S17" s="17"/>
      <c r="W17" s="1"/>
      <c r="X17" s="1"/>
    </row>
    <row r="18" spans="1:24" x14ac:dyDescent="0.25">
      <c r="A18" s="4">
        <f t="shared" si="0"/>
        <v>2</v>
      </c>
      <c r="B18" s="8">
        <f t="shared" si="2"/>
        <v>16</v>
      </c>
      <c r="C18" s="34">
        <f>SUM(D$3:D18)/D$1</f>
        <v>0.21251394417819564</v>
      </c>
      <c r="D18" s="10">
        <f t="shared" si="3"/>
        <v>691.22948942330095</v>
      </c>
      <c r="E18" s="53">
        <f>((((1-F$1)*D$1)-SUM(D$3:D17)+((F$1)*D$1))*(I18/12))</f>
        <v>3517.7854789242747</v>
      </c>
      <c r="F18" s="10">
        <f t="shared" si="4"/>
        <v>4209.0149683475756</v>
      </c>
      <c r="G18" s="10">
        <f t="shared" si="1"/>
        <v>1963.5</v>
      </c>
      <c r="H18" s="10"/>
      <c r="I18" s="19">
        <v>6.3E-2</v>
      </c>
      <c r="J18" s="15"/>
      <c r="K18" s="15"/>
      <c r="L18" s="15"/>
      <c r="M18" s="15"/>
      <c r="N18" s="17"/>
      <c r="P18" s="15"/>
      <c r="Q18" s="15"/>
      <c r="R18" s="15"/>
      <c r="S18" s="17"/>
      <c r="W18" s="1"/>
      <c r="X18" s="1"/>
    </row>
    <row r="19" spans="1:24" x14ac:dyDescent="0.25">
      <c r="A19" s="4">
        <f t="shared" si="0"/>
        <v>2</v>
      </c>
      <c r="B19" s="8">
        <f t="shared" si="2"/>
        <v>17</v>
      </c>
      <c r="C19" s="34">
        <f>SUM(D$3:D19)/D$1</f>
        <v>0.21333142470083419</v>
      </c>
      <c r="D19" s="10">
        <f t="shared" si="3"/>
        <v>694.85844424277366</v>
      </c>
      <c r="E19" s="53">
        <f>((((1-F$1)*D$1)-SUM(D$3:D18)+((F$1)*D$1))*(I19/12))</f>
        <v>3514.156524104802</v>
      </c>
      <c r="F19" s="10">
        <f t="shared" si="4"/>
        <v>4209.0149683475756</v>
      </c>
      <c r="G19" s="10">
        <f t="shared" si="1"/>
        <v>1963.5</v>
      </c>
      <c r="H19" s="10"/>
      <c r="I19" s="19">
        <v>6.3E-2</v>
      </c>
      <c r="J19" s="15"/>
      <c r="K19" s="15"/>
      <c r="L19" s="15"/>
      <c r="M19" s="15"/>
      <c r="N19" s="17"/>
      <c r="P19" s="15"/>
      <c r="Q19" s="15"/>
      <c r="R19" s="15"/>
      <c r="S19" s="17"/>
      <c r="W19" s="1"/>
      <c r="X19" s="1"/>
    </row>
    <row r="20" spans="1:24" x14ac:dyDescent="0.25">
      <c r="A20" s="4">
        <f t="shared" si="0"/>
        <v>2</v>
      </c>
      <c r="B20" s="8">
        <f t="shared" si="2"/>
        <v>18</v>
      </c>
      <c r="C20" s="34">
        <f>SUM(D$3:D20)/D$1</f>
        <v>0.2141531969962166</v>
      </c>
      <c r="D20" s="10">
        <f t="shared" si="3"/>
        <v>698.50645107504806</v>
      </c>
      <c r="E20" s="53">
        <f>((((1-F$1)*D$1)-SUM(D$3:D19)+((F$1)*D$1))*(I20/12))</f>
        <v>3510.5085172725276</v>
      </c>
      <c r="F20" s="10">
        <f t="shared" si="4"/>
        <v>4209.0149683475756</v>
      </c>
      <c r="G20" s="10">
        <f t="shared" si="1"/>
        <v>1963.5</v>
      </c>
      <c r="H20" s="10"/>
      <c r="I20" s="19">
        <v>6.3E-2</v>
      </c>
      <c r="J20" s="15"/>
      <c r="K20" s="15"/>
      <c r="L20" s="15"/>
      <c r="M20" s="15"/>
      <c r="N20" s="17"/>
      <c r="P20" s="15"/>
      <c r="Q20" s="15"/>
      <c r="R20" s="15"/>
      <c r="S20" s="17"/>
      <c r="W20" s="1"/>
      <c r="X20" s="1"/>
    </row>
    <row r="21" spans="1:24" x14ac:dyDescent="0.25">
      <c r="A21" s="4">
        <f t="shared" si="0"/>
        <v>2</v>
      </c>
      <c r="B21" s="8">
        <f t="shared" si="2"/>
        <v>19</v>
      </c>
      <c r="C21" s="34">
        <f>SUM(D$3:D21)/D$1</f>
        <v>0.21497928359614976</v>
      </c>
      <c r="D21" s="10">
        <f t="shared" si="3"/>
        <v>702.17360994319233</v>
      </c>
      <c r="E21" s="53">
        <f>((((1-F$1)*D$1)-SUM(D$3:D20)+((F$1)*D$1))*(I21/12))</f>
        <v>3506.8413584043833</v>
      </c>
      <c r="F21" s="10">
        <f t="shared" si="4"/>
        <v>4209.0149683475756</v>
      </c>
      <c r="G21" s="10">
        <f t="shared" si="1"/>
        <v>1963.5</v>
      </c>
      <c r="H21" s="10"/>
      <c r="I21" s="19">
        <v>6.3E-2</v>
      </c>
      <c r="J21" s="15"/>
      <c r="K21" s="15"/>
      <c r="L21" s="15"/>
      <c r="M21" s="15"/>
      <c r="N21" s="17"/>
      <c r="P21" s="15"/>
      <c r="Q21" s="15"/>
      <c r="R21" s="15"/>
      <c r="S21" s="17"/>
      <c r="W21" s="1"/>
      <c r="X21" s="1"/>
    </row>
    <row r="22" spans="1:24" x14ac:dyDescent="0.25">
      <c r="A22" s="4">
        <f t="shared" si="0"/>
        <v>2</v>
      </c>
      <c r="B22" s="8">
        <f t="shared" si="2"/>
        <v>20</v>
      </c>
      <c r="C22" s="34">
        <f>SUM(D$3:D22)/D$1</f>
        <v>0.21580970715073258</v>
      </c>
      <c r="D22" s="10">
        <f t="shared" si="3"/>
        <v>705.86002139539369</v>
      </c>
      <c r="E22" s="53">
        <f>((((1-F$1)*D$1)-SUM(D$3:D21)+((F$1)*D$1))*(I22/12))</f>
        <v>3503.1549469521819</v>
      </c>
      <c r="F22" s="10">
        <f t="shared" si="4"/>
        <v>4209.0149683475756</v>
      </c>
      <c r="G22" s="10">
        <f t="shared" si="1"/>
        <v>1963.5</v>
      </c>
      <c r="H22" s="10"/>
      <c r="I22" s="19">
        <v>6.3E-2</v>
      </c>
      <c r="J22" s="15"/>
      <c r="K22" s="15"/>
      <c r="L22" s="15"/>
      <c r="M22" s="15"/>
      <c r="N22" s="17"/>
      <c r="P22" s="15"/>
      <c r="Q22" s="15"/>
      <c r="R22" s="15"/>
      <c r="S22" s="17"/>
      <c r="W22" s="1"/>
      <c r="X22" s="1"/>
    </row>
    <row r="23" spans="1:24" x14ac:dyDescent="0.25">
      <c r="A23" s="4">
        <f t="shared" si="0"/>
        <v>2</v>
      </c>
      <c r="B23" s="8">
        <f t="shared" si="2"/>
        <v>21</v>
      </c>
      <c r="C23" s="34">
        <f>SUM(D$3:D23)/D$1</f>
        <v>0.21664449042897696</v>
      </c>
      <c r="D23" s="10">
        <f t="shared" si="3"/>
        <v>709.56578650772008</v>
      </c>
      <c r="E23" s="53">
        <f>((((1-F$1)*D$1)-SUM(D$3:D22)+((F$1)*D$1))*(I23/12))</f>
        <v>3499.4491818398556</v>
      </c>
      <c r="F23" s="10">
        <f t="shared" si="4"/>
        <v>4209.0149683475756</v>
      </c>
      <c r="G23" s="10">
        <f t="shared" si="1"/>
        <v>1963.5</v>
      </c>
      <c r="H23" s="10"/>
      <c r="I23" s="19">
        <v>6.3E-2</v>
      </c>
      <c r="J23" s="15"/>
      <c r="K23" s="15"/>
      <c r="L23" s="15"/>
      <c r="M23" s="15"/>
      <c r="N23" s="17"/>
      <c r="P23" s="15"/>
      <c r="Q23" s="15"/>
      <c r="R23" s="15"/>
      <c r="S23" s="17"/>
      <c r="W23" s="1"/>
      <c r="X23" s="1"/>
    </row>
    <row r="24" spans="1:24" x14ac:dyDescent="0.25">
      <c r="A24" s="4">
        <f t="shared" si="0"/>
        <v>2</v>
      </c>
      <c r="B24" s="8">
        <f t="shared" si="2"/>
        <v>22</v>
      </c>
      <c r="C24" s="34">
        <f>SUM(D$3:D24)/D$1</f>
        <v>0.21748365631943212</v>
      </c>
      <c r="D24" s="10">
        <f t="shared" si="3"/>
        <v>713.29100688688504</v>
      </c>
      <c r="E24" s="53">
        <f>((((1-F$1)*D$1)-SUM(D$3:D23)+((F$1)*D$1))*(I24/12))</f>
        <v>3495.7239614606906</v>
      </c>
      <c r="F24" s="10">
        <f t="shared" si="4"/>
        <v>4209.0149683475756</v>
      </c>
      <c r="G24" s="10">
        <f t="shared" si="1"/>
        <v>1963.5</v>
      </c>
      <c r="H24" s="10"/>
      <c r="I24" s="19">
        <v>6.3E-2</v>
      </c>
      <c r="J24" s="15"/>
      <c r="K24" s="15"/>
      <c r="L24" s="15"/>
      <c r="M24" s="15"/>
      <c r="N24" s="17"/>
      <c r="P24" s="15"/>
      <c r="Q24" s="15"/>
      <c r="R24" s="15"/>
      <c r="S24" s="17"/>
      <c r="W24" s="1"/>
      <c r="X24" s="1"/>
    </row>
    <row r="25" spans="1:24" x14ac:dyDescent="0.25">
      <c r="A25" s="4">
        <f t="shared" si="0"/>
        <v>2</v>
      </c>
      <c r="B25" s="8">
        <f t="shared" si="2"/>
        <v>23</v>
      </c>
      <c r="C25" s="34">
        <f>SUM(D$3:D25)/D$1</f>
        <v>0.21832722783081215</v>
      </c>
      <c r="D25" s="10">
        <f t="shared" si="3"/>
        <v>717.03578467304123</v>
      </c>
      <c r="E25" s="53">
        <f>((((1-F$1)*D$1)-SUM(D$3:D24)+((F$1)*D$1))*(I25/12))</f>
        <v>3491.9791836745344</v>
      </c>
      <c r="F25" s="10">
        <f t="shared" si="4"/>
        <v>4209.0149683475756</v>
      </c>
      <c r="G25" s="10">
        <f t="shared" si="1"/>
        <v>1963.5</v>
      </c>
      <c r="H25" s="10"/>
      <c r="I25" s="19">
        <v>6.3E-2</v>
      </c>
      <c r="J25" s="15"/>
      <c r="K25" s="15"/>
      <c r="L25" s="15"/>
      <c r="M25" s="15"/>
      <c r="N25" s="17"/>
      <c r="P25" s="15"/>
      <c r="Q25" s="15"/>
      <c r="R25" s="15"/>
      <c r="S25" s="17"/>
      <c r="W25" s="1"/>
      <c r="X25" s="1"/>
    </row>
    <row r="26" spans="1:24" x14ac:dyDescent="0.25">
      <c r="A26" s="4">
        <f t="shared" si="0"/>
        <v>2</v>
      </c>
      <c r="B26" s="8">
        <f t="shared" si="2"/>
        <v>24</v>
      </c>
      <c r="C26" s="34">
        <f>SUM(D$3:D26)/D$1</f>
        <v>0.21917522809262696</v>
      </c>
      <c r="D26" s="10">
        <f t="shared" si="3"/>
        <v>720.80022254257483</v>
      </c>
      <c r="E26" s="53">
        <f>((((1-F$1)*D$1)-SUM(D$3:D25)+((F$1)*D$1))*(I26/12))</f>
        <v>3488.2147458050008</v>
      </c>
      <c r="F26" s="10">
        <f t="shared" si="4"/>
        <v>4209.0149683475756</v>
      </c>
      <c r="G26" s="10">
        <f t="shared" si="1"/>
        <v>1963.5</v>
      </c>
      <c r="H26" s="10"/>
      <c r="I26" s="19">
        <v>6.3E-2</v>
      </c>
      <c r="J26" s="15"/>
      <c r="K26" s="15"/>
      <c r="L26" s="15"/>
      <c r="M26" s="15"/>
      <c r="N26" s="17"/>
      <c r="P26" s="15"/>
      <c r="Q26" s="15"/>
      <c r="R26" s="15"/>
      <c r="S26" s="17"/>
      <c r="W26" s="1"/>
      <c r="X26" s="1"/>
    </row>
    <row r="27" spans="1:24" x14ac:dyDescent="0.25">
      <c r="A27" s="4">
        <f t="shared" si="0"/>
        <v>3</v>
      </c>
      <c r="B27" s="8">
        <f t="shared" si="2"/>
        <v>25</v>
      </c>
      <c r="C27" s="34">
        <f>SUM(D$3:D27)/D$1</f>
        <v>0.22002768035581627</v>
      </c>
      <c r="D27" s="10">
        <f t="shared" si="3"/>
        <v>724.58442371092269</v>
      </c>
      <c r="E27" s="53">
        <f>((((1-F$1)*D$1)-SUM(D$3:D26)+((F$1)*D$1))*(I27/12))</f>
        <v>3484.4305446366529</v>
      </c>
      <c r="F27" s="10">
        <f t="shared" si="4"/>
        <v>4209.0149683475756</v>
      </c>
      <c r="G27" s="10">
        <f t="shared" si="1"/>
        <v>1963.5</v>
      </c>
      <c r="H27" s="10"/>
      <c r="I27" s="19">
        <v>6.3E-2</v>
      </c>
      <c r="J27" s="15"/>
      <c r="K27" s="15"/>
      <c r="L27" s="15"/>
      <c r="M27" s="15"/>
      <c r="N27" s="17"/>
      <c r="P27" s="15"/>
      <c r="Q27" s="15"/>
      <c r="R27" s="15"/>
      <c r="S27" s="17"/>
      <c r="W27" s="1"/>
      <c r="X27" s="1"/>
    </row>
    <row r="28" spans="1:24" x14ac:dyDescent="0.25">
      <c r="A28" s="4">
        <f t="shared" si="0"/>
        <v>3</v>
      </c>
      <c r="B28" s="8">
        <f t="shared" si="2"/>
        <v>26</v>
      </c>
      <c r="C28" s="34">
        <f>SUM(D$3:D28)/D$1</f>
        <v>0.22088460799338736</v>
      </c>
      <c r="D28" s="10">
        <f t="shared" si="3"/>
        <v>728.38849193540545</v>
      </c>
      <c r="E28" s="53">
        <f>((((1-F$1)*D$1)-SUM(D$3:D27)+((F$1)*D$1))*(I28/12))</f>
        <v>3480.6264764121702</v>
      </c>
      <c r="F28" s="10">
        <f t="shared" si="4"/>
        <v>4209.0149683475756</v>
      </c>
      <c r="G28" s="10">
        <f t="shared" si="1"/>
        <v>1963.5</v>
      </c>
      <c r="H28" s="10"/>
      <c r="I28" s="19">
        <v>6.3E-2</v>
      </c>
      <c r="J28" s="15"/>
      <c r="K28" s="15"/>
      <c r="L28" s="15"/>
      <c r="M28" s="15"/>
      <c r="N28" s="17"/>
      <c r="P28" s="15"/>
      <c r="Q28" s="15"/>
      <c r="R28" s="15"/>
      <c r="S28" s="17"/>
      <c r="W28" s="1"/>
      <c r="X28" s="1"/>
    </row>
    <row r="29" spans="1:24" x14ac:dyDescent="0.25">
      <c r="A29" s="4">
        <f t="shared" si="0"/>
        <v>3</v>
      </c>
      <c r="B29" s="8">
        <f t="shared" si="2"/>
        <v>27</v>
      </c>
      <c r="C29" s="34">
        <f>SUM(D$3:D29)/D$1</f>
        <v>0.22174603450105568</v>
      </c>
      <c r="D29" s="10">
        <f t="shared" si="3"/>
        <v>732.2125315180665</v>
      </c>
      <c r="E29" s="53">
        <f>((((1-F$1)*D$1)-SUM(D$3:D28)+((F$1)*D$1))*(I29/12))</f>
        <v>3476.8024368295091</v>
      </c>
      <c r="F29" s="10">
        <f t="shared" si="4"/>
        <v>4209.0149683475756</v>
      </c>
      <c r="G29" s="10">
        <f t="shared" si="1"/>
        <v>1963.5</v>
      </c>
      <c r="H29" s="10"/>
      <c r="I29" s="19">
        <v>6.3E-2</v>
      </c>
      <c r="J29" s="15"/>
      <c r="K29" s="15"/>
      <c r="L29" s="15"/>
      <c r="M29" s="15"/>
      <c r="N29" s="17"/>
      <c r="P29" s="15"/>
      <c r="Q29" s="15"/>
      <c r="R29" s="15"/>
      <c r="S29" s="17"/>
      <c r="W29" s="1"/>
      <c r="X29" s="1"/>
    </row>
    <row r="30" spans="1:24" x14ac:dyDescent="0.25">
      <c r="A30" s="4">
        <f t="shared" si="0"/>
        <v>3</v>
      </c>
      <c r="B30" s="8">
        <f t="shared" si="2"/>
        <v>28</v>
      </c>
      <c r="C30" s="34">
        <f>SUM(D$3:D30)/D$1</f>
        <v>0.22261198349788924</v>
      </c>
      <c r="D30" s="10">
        <f t="shared" si="3"/>
        <v>736.05664730853641</v>
      </c>
      <c r="E30" s="53">
        <f>((((1-F$1)*D$1)-SUM(D$3:D29)+((F$1)*D$1))*(I30/12))</f>
        <v>3472.9583210390392</v>
      </c>
      <c r="F30" s="10">
        <f t="shared" si="4"/>
        <v>4209.0149683475756</v>
      </c>
      <c r="G30" s="10">
        <f t="shared" si="1"/>
        <v>1963.5</v>
      </c>
      <c r="H30" s="10"/>
      <c r="I30" s="19">
        <v>6.3E-2</v>
      </c>
      <c r="J30" s="15"/>
      <c r="K30" s="15"/>
      <c r="L30" s="15"/>
      <c r="M30" s="15"/>
      <c r="N30" s="17"/>
      <c r="P30" s="15"/>
      <c r="Q30" s="15"/>
      <c r="R30" s="15"/>
      <c r="S30" s="17"/>
      <c r="W30" s="1"/>
      <c r="X30" s="1"/>
    </row>
    <row r="31" spans="1:24" x14ac:dyDescent="0.25">
      <c r="A31" s="4">
        <f t="shared" si="0"/>
        <v>3</v>
      </c>
      <c r="B31" s="8">
        <f t="shared" si="2"/>
        <v>29</v>
      </c>
      <c r="C31" s="34">
        <f>SUM(D$3:D31)/D$1</f>
        <v>0.2234824787269562</v>
      </c>
      <c r="D31" s="10">
        <f t="shared" si="3"/>
        <v>739.92094470690608</v>
      </c>
      <c r="E31" s="53">
        <f>((((1-F$1)*D$1)-SUM(D$3:D30)+((F$1)*D$1))*(I31/12))</f>
        <v>3469.0940236406695</v>
      </c>
      <c r="F31" s="10">
        <f t="shared" si="4"/>
        <v>4209.0149683475756</v>
      </c>
      <c r="G31" s="10">
        <f t="shared" si="1"/>
        <v>1963.5</v>
      </c>
      <c r="H31" s="10"/>
      <c r="I31" s="19">
        <v>6.3E-2</v>
      </c>
      <c r="J31" s="15"/>
      <c r="K31" s="15"/>
      <c r="L31" s="15"/>
      <c r="M31" s="15"/>
      <c r="N31" s="17"/>
      <c r="P31" s="15"/>
      <c r="Q31" s="15"/>
      <c r="R31" s="15"/>
      <c r="S31" s="17"/>
      <c r="W31" s="1"/>
      <c r="X31" s="1"/>
    </row>
    <row r="32" spans="1:24" x14ac:dyDescent="0.25">
      <c r="A32" s="4">
        <f t="shared" si="0"/>
        <v>3</v>
      </c>
      <c r="B32" s="8">
        <f>B31+1</f>
        <v>30</v>
      </c>
      <c r="C32" s="34">
        <f>SUM(D$3:D32)/D$1</f>
        <v>0.22435754405597577</v>
      </c>
      <c r="D32" s="10">
        <f t="shared" si="3"/>
        <v>743.80552966661799</v>
      </c>
      <c r="E32" s="53">
        <f>((((1-F$1)*D$1)-SUM(D$3:D31)+((F$1)*D$1))*(I32/12))</f>
        <v>3465.2094386809576</v>
      </c>
      <c r="F32" s="10">
        <f t="shared" si="4"/>
        <v>4209.0149683475756</v>
      </c>
      <c r="G32" s="10">
        <f t="shared" si="1"/>
        <v>1963.5</v>
      </c>
      <c r="H32" s="10"/>
      <c r="I32" s="19">
        <v>6.3E-2</v>
      </c>
      <c r="J32" s="15"/>
      <c r="K32" s="15"/>
      <c r="L32" s="15"/>
      <c r="M32" s="15"/>
      <c r="N32" s="17"/>
      <c r="P32" s="15"/>
      <c r="Q32" s="15"/>
      <c r="R32" s="15"/>
      <c r="S32" s="17"/>
      <c r="W32" s="1"/>
      <c r="X32" s="1"/>
    </row>
    <row r="33" spans="1:24" x14ac:dyDescent="0.25">
      <c r="A33" s="4">
        <f t="shared" si="0"/>
        <v>3</v>
      </c>
      <c r="B33" s="8">
        <f t="shared" ref="B33:B96" si="5">B32+1</f>
        <v>31</v>
      </c>
      <c r="C33" s="34">
        <f>SUM(D$3:D33)/D$1</f>
        <v>0.22523720347797269</v>
      </c>
      <c r="D33" s="10">
        <f t="shared" si="3"/>
        <v>747.71050869736746</v>
      </c>
      <c r="E33" s="53">
        <f>((((1-F$1)*D$1)-SUM(D$3:D32)+((F$1)*D$1))*(I33/12))</f>
        <v>3461.3044596502082</v>
      </c>
      <c r="F33" s="10">
        <f t="shared" si="4"/>
        <v>4209.0149683475756</v>
      </c>
      <c r="G33" s="10">
        <f t="shared" si="1"/>
        <v>1963.5</v>
      </c>
      <c r="H33" s="49"/>
      <c r="I33" s="19">
        <v>6.3E-2</v>
      </c>
      <c r="P33" s="15"/>
      <c r="W33" s="1"/>
      <c r="X33" s="1"/>
    </row>
    <row r="34" spans="1:24" x14ac:dyDescent="0.25">
      <c r="A34" s="4">
        <f t="shared" si="0"/>
        <v>3</v>
      </c>
      <c r="B34" s="8">
        <f t="shared" si="5"/>
        <v>32</v>
      </c>
      <c r="C34" s="34">
        <f>SUM(D$3:D34)/D$1</f>
        <v>0.22612148111193506</v>
      </c>
      <c r="D34" s="10">
        <f t="shared" si="3"/>
        <v>751.63598886802856</v>
      </c>
      <c r="E34" s="53">
        <f>((((1-F$1)*D$1)-SUM(D$3:D33)+((F$1)*D$1))*(I34/12))</f>
        <v>3457.3789794795471</v>
      </c>
      <c r="F34" s="10">
        <f t="shared" si="4"/>
        <v>4209.0149683475756</v>
      </c>
      <c r="G34" s="10">
        <f t="shared" si="1"/>
        <v>1963.5</v>
      </c>
      <c r="H34" s="49"/>
      <c r="I34" s="19">
        <v>6.3E-2</v>
      </c>
      <c r="P34" s="15"/>
      <c r="W34" s="1"/>
      <c r="X34" s="1"/>
    </row>
    <row r="35" spans="1:24" x14ac:dyDescent="0.25">
      <c r="A35" s="4">
        <f t="shared" si="0"/>
        <v>3</v>
      </c>
      <c r="B35" s="8">
        <f t="shared" si="5"/>
        <v>33</v>
      </c>
      <c r="C35" s="34">
        <f>SUM(D$3:D35)/D$1</f>
        <v>0.22701040120347574</v>
      </c>
      <c r="D35" s="10">
        <f t="shared" si="3"/>
        <v>755.58207780958583</v>
      </c>
      <c r="E35" s="53">
        <f>((((1-F$1)*D$1)-SUM(D$3:D34)+((F$1)*D$1))*(I35/12))</f>
        <v>3453.4328905379898</v>
      </c>
      <c r="F35" s="10">
        <f t="shared" si="4"/>
        <v>4209.0149683475756</v>
      </c>
      <c r="G35" s="10">
        <f t="shared" si="1"/>
        <v>1963.5</v>
      </c>
      <c r="H35" s="49"/>
      <c r="I35" s="19">
        <v>6.3E-2</v>
      </c>
      <c r="P35" s="15"/>
      <c r="W35" s="1"/>
      <c r="X35" s="1"/>
    </row>
    <row r="36" spans="1:24" x14ac:dyDescent="0.25">
      <c r="A36" s="4">
        <f t="shared" si="0"/>
        <v>3</v>
      </c>
      <c r="B36" s="8">
        <f t="shared" si="5"/>
        <v>34</v>
      </c>
      <c r="C36" s="34">
        <f>SUM(D$3:D36)/D$1</f>
        <v>0.22790398812549703</v>
      </c>
      <c r="D36" s="10">
        <f t="shared" si="3"/>
        <v>759.54888371808556</v>
      </c>
      <c r="E36" s="53">
        <f>((((1-F$1)*D$1)-SUM(D$3:D35)+((F$1)*D$1))*(I36/12))</f>
        <v>3449.4660846294901</v>
      </c>
      <c r="F36" s="10">
        <f t="shared" si="4"/>
        <v>4209.0149683475756</v>
      </c>
      <c r="G36" s="10">
        <f t="shared" si="1"/>
        <v>1963.5</v>
      </c>
      <c r="H36" s="49"/>
      <c r="I36" s="19">
        <v>6.3E-2</v>
      </c>
      <c r="P36" s="15"/>
      <c r="W36" s="1"/>
      <c r="X36" s="1"/>
    </row>
    <row r="37" spans="1:24" x14ac:dyDescent="0.25">
      <c r="A37" s="4">
        <f t="shared" si="0"/>
        <v>3</v>
      </c>
      <c r="B37" s="8">
        <f t="shared" si="5"/>
        <v>35</v>
      </c>
      <c r="C37" s="34">
        <f>SUM(D$3:D37)/D$1</f>
        <v>0.22880226637885892</v>
      </c>
      <c r="D37" s="10">
        <f t="shared" si="3"/>
        <v>763.53651535760628</v>
      </c>
      <c r="E37" s="53">
        <f>((((1-F$1)*D$1)-SUM(D$3:D36)+((F$1)*D$1))*(I37/12))</f>
        <v>3445.4784529899694</v>
      </c>
      <c r="F37" s="10">
        <f t="shared" si="4"/>
        <v>4209.0149683475756</v>
      </c>
      <c r="G37" s="10">
        <f t="shared" si="1"/>
        <v>1963.5</v>
      </c>
      <c r="H37" s="49"/>
      <c r="I37" s="19">
        <v>6.3E-2</v>
      </c>
      <c r="P37" s="15"/>
      <c r="W37" s="1"/>
      <c r="X37" s="1"/>
    </row>
    <row r="38" spans="1:24" x14ac:dyDescent="0.25">
      <c r="A38" s="4">
        <f t="shared" si="0"/>
        <v>3</v>
      </c>
      <c r="B38" s="8">
        <f t="shared" si="5"/>
        <v>36</v>
      </c>
      <c r="C38" s="34">
        <f>SUM(D$3:D38)/D$1</f>
        <v>0.22970526059305096</v>
      </c>
      <c r="D38" s="10">
        <f t="shared" si="3"/>
        <v>767.54508206323317</v>
      </c>
      <c r="E38" s="53">
        <f>((((1-F$1)*D$1)-SUM(D$3:D37)+((F$1)*D$1))*(I38/12))</f>
        <v>3441.4698862843425</v>
      </c>
      <c r="F38" s="10">
        <f t="shared" si="4"/>
        <v>4209.0149683475756</v>
      </c>
      <c r="G38" s="10">
        <f t="shared" si="1"/>
        <v>1963.5</v>
      </c>
      <c r="H38" s="49"/>
      <c r="I38" s="19">
        <v>6.3E-2</v>
      </c>
      <c r="P38" s="15"/>
      <c r="W38" s="1"/>
      <c r="X38" s="1"/>
    </row>
    <row r="39" spans="1:24" x14ac:dyDescent="0.25">
      <c r="A39" s="4">
        <f t="shared" si="0"/>
        <v>4</v>
      </c>
      <c r="B39" s="8">
        <f t="shared" si="5"/>
        <v>37</v>
      </c>
      <c r="C39" s="34">
        <f>SUM(D$3:D39)/D$1</f>
        <v>0.23061299552686751</v>
      </c>
      <c r="D39" s="10">
        <f t="shared" si="3"/>
        <v>771.57469374406583</v>
      </c>
      <c r="E39" s="53">
        <f>((((1-F$1)*D$1)-SUM(D$3:D38)+((F$1)*D$1))*(I39/12))</f>
        <v>3437.4402746035098</v>
      </c>
      <c r="F39" s="10">
        <f t="shared" si="4"/>
        <v>4209.0149683475756</v>
      </c>
      <c r="G39" s="10">
        <f t="shared" si="1"/>
        <v>1963.5</v>
      </c>
      <c r="H39" s="49"/>
      <c r="I39" s="19">
        <v>6.3E-2</v>
      </c>
      <c r="P39" s="15"/>
      <c r="W39" s="1"/>
      <c r="X39" s="1"/>
    </row>
    <row r="40" spans="1:24" x14ac:dyDescent="0.25">
      <c r="A40" s="4">
        <f t="shared" si="0"/>
        <v>4</v>
      </c>
      <c r="B40" s="8">
        <f t="shared" si="5"/>
        <v>38</v>
      </c>
      <c r="C40" s="34">
        <f>SUM(D$3:D40)/D$1</f>
        <v>0.23152549606908659</v>
      </c>
      <c r="D40" s="10">
        <f t="shared" si="3"/>
        <v>775.62546088622184</v>
      </c>
      <c r="E40" s="53">
        <f>((((1-F$1)*D$1)-SUM(D$3:D39)+((F$1)*D$1))*(I40/12))</f>
        <v>3433.3895074613538</v>
      </c>
      <c r="F40" s="10">
        <f t="shared" si="4"/>
        <v>4209.0149683475756</v>
      </c>
      <c r="G40" s="10">
        <f t="shared" si="1"/>
        <v>1963.5</v>
      </c>
      <c r="H40" s="49"/>
      <c r="I40" s="19">
        <v>6.3E-2</v>
      </c>
      <c r="P40" s="15"/>
      <c r="W40" s="1"/>
      <c r="X40" s="1"/>
    </row>
    <row r="41" spans="1:24" x14ac:dyDescent="0.25">
      <c r="A41" s="4">
        <f t="shared" si="0"/>
        <v>4</v>
      </c>
      <c r="B41" s="8">
        <f t="shared" si="5"/>
        <v>39</v>
      </c>
      <c r="C41" s="34">
        <f>SUM(D$3:D41)/D$1</f>
        <v>0.23244278723915235</v>
      </c>
      <c r="D41" s="10">
        <f t="shared" si="3"/>
        <v>779.69749455587453</v>
      </c>
      <c r="E41" s="53">
        <f>((((1-F$1)*D$1)-SUM(D$3:D40)+((F$1)*D$1))*(I41/12))</f>
        <v>3429.3174737917011</v>
      </c>
      <c r="F41" s="10">
        <f t="shared" si="4"/>
        <v>4209.0149683475756</v>
      </c>
      <c r="G41" s="10">
        <f t="shared" si="1"/>
        <v>1963.5</v>
      </c>
      <c r="H41" s="49"/>
      <c r="I41" s="19">
        <v>6.3E-2</v>
      </c>
      <c r="P41" s="15"/>
      <c r="W41" s="1"/>
      <c r="X41" s="1"/>
    </row>
    <row r="42" spans="1:24" x14ac:dyDescent="0.25">
      <c r="A42" s="4">
        <f t="shared" si="0"/>
        <v>4</v>
      </c>
      <c r="B42" s="8">
        <f t="shared" si="5"/>
        <v>40</v>
      </c>
      <c r="C42" s="34">
        <f>SUM(D$3:D42)/D$1</f>
        <v>0.23336489418786091</v>
      </c>
      <c r="D42" s="10">
        <f t="shared" si="3"/>
        <v>783.79090640229242</v>
      </c>
      <c r="E42" s="53">
        <f>((((1-F$1)*D$1)-SUM(D$3:D41)+((F$1)*D$1))*(I42/12))</f>
        <v>3425.2240619452832</v>
      </c>
      <c r="F42" s="10">
        <f t="shared" si="4"/>
        <v>4209.0149683475756</v>
      </c>
      <c r="G42" s="10">
        <f t="shared" si="1"/>
        <v>1963.5</v>
      </c>
      <c r="H42" s="49"/>
      <c r="I42" s="19">
        <v>6.3E-2</v>
      </c>
      <c r="P42" s="15"/>
      <c r="W42" s="1"/>
      <c r="X42" s="1"/>
    </row>
    <row r="43" spans="1:24" x14ac:dyDescent="0.25">
      <c r="A43" s="4">
        <f t="shared" si="0"/>
        <v>4</v>
      </c>
      <c r="B43" s="8">
        <f t="shared" si="5"/>
        <v>41</v>
      </c>
      <c r="C43" s="34">
        <f>SUM(D$3:D43)/D$1</f>
        <v>0.23429184219805022</v>
      </c>
      <c r="D43" s="10">
        <f t="shared" si="3"/>
        <v>787.90580866090477</v>
      </c>
      <c r="E43" s="53">
        <f>((((1-F$1)*D$1)-SUM(D$3:D42)+((F$1)*D$1))*(I43/12))</f>
        <v>3421.1091596866709</v>
      </c>
      <c r="F43" s="10">
        <f t="shared" si="4"/>
        <v>4209.0149683475756</v>
      </c>
      <c r="G43" s="10">
        <f t="shared" si="1"/>
        <v>1963.5</v>
      </c>
      <c r="H43" s="49"/>
      <c r="I43" s="19">
        <v>6.3E-2</v>
      </c>
      <c r="P43" s="15"/>
      <c r="W43" s="1"/>
      <c r="X43" s="1"/>
    </row>
    <row r="44" spans="1:24" x14ac:dyDescent="0.25">
      <c r="A44" s="4">
        <f t="shared" si="0"/>
        <v>4</v>
      </c>
      <c r="B44" s="8">
        <f t="shared" si="5"/>
        <v>42</v>
      </c>
      <c r="C44" s="34">
        <f>SUM(D$3:D44)/D$1</f>
        <v>0.23522365668529299</v>
      </c>
      <c r="D44" s="10">
        <f t="shared" si="3"/>
        <v>792.04231415637423</v>
      </c>
      <c r="E44" s="53">
        <f>((((1-F$1)*D$1)-SUM(D$3:D43)+((F$1)*D$1))*(I44/12))</f>
        <v>3416.9726541912014</v>
      </c>
      <c r="F44" s="10">
        <f t="shared" si="4"/>
        <v>4209.0149683475756</v>
      </c>
      <c r="G44" s="10">
        <f t="shared" si="1"/>
        <v>1963.5</v>
      </c>
      <c r="H44" s="49"/>
      <c r="I44" s="19">
        <v>6.3E-2</v>
      </c>
    </row>
    <row r="45" spans="1:24" x14ac:dyDescent="0.25">
      <c r="A45" s="4">
        <f t="shared" si="0"/>
        <v>4</v>
      </c>
      <c r="B45" s="8">
        <f t="shared" si="5"/>
        <v>43</v>
      </c>
      <c r="C45" s="34">
        <f>SUM(D$3:D45)/D$1</f>
        <v>0.23616036319859382</v>
      </c>
      <c r="D45" s="10">
        <f t="shared" si="3"/>
        <v>796.20053630569555</v>
      </c>
      <c r="E45" s="53">
        <f>((((1-F$1)*D$1)-SUM(D$3:D44)+((F$1)*D$1))*(I45/12))</f>
        <v>3412.8144320418801</v>
      </c>
      <c r="F45" s="10">
        <f t="shared" si="4"/>
        <v>4209.0149683475756</v>
      </c>
      <c r="G45" s="10">
        <f t="shared" si="1"/>
        <v>1963.5</v>
      </c>
      <c r="H45" s="49"/>
      <c r="I45" s="19">
        <v>6.3E-2</v>
      </c>
    </row>
    <row r="46" spans="1:24" x14ac:dyDescent="0.25">
      <c r="A46" s="4">
        <f t="shared" si="0"/>
        <v>4</v>
      </c>
      <c r="B46" s="8">
        <f t="shared" si="5"/>
        <v>44</v>
      </c>
      <c r="C46" s="34">
        <f>SUM(D$3:D46)/D$1</f>
        <v>0.23710198742108946</v>
      </c>
      <c r="D46" s="10">
        <f t="shared" si="3"/>
        <v>800.38058912130009</v>
      </c>
      <c r="E46" s="53">
        <f>((((1-F$1)*D$1)-SUM(D$3:D45)+((F$1)*D$1))*(I46/12))</f>
        <v>3408.6343792262755</v>
      </c>
      <c r="F46" s="10">
        <f t="shared" si="4"/>
        <v>4209.0149683475756</v>
      </c>
      <c r="G46" s="10">
        <f t="shared" si="1"/>
        <v>1963.5</v>
      </c>
      <c r="H46" s="49"/>
      <c r="I46" s="19">
        <v>6.3E-2</v>
      </c>
    </row>
    <row r="47" spans="1:24" x14ac:dyDescent="0.25">
      <c r="A47" s="4">
        <f t="shared" si="0"/>
        <v>4</v>
      </c>
      <c r="B47" s="8">
        <f t="shared" si="5"/>
        <v>45</v>
      </c>
      <c r="C47" s="34">
        <f>SUM(D$3:D47)/D$1</f>
        <v>0.23804855517075321</v>
      </c>
      <c r="D47" s="10">
        <f t="shared" si="3"/>
        <v>804.58258721418679</v>
      </c>
      <c r="E47" s="53">
        <f>((((1-F$1)*D$1)-SUM(D$3:D46)+((F$1)*D$1))*(I47/12))</f>
        <v>3404.4323811333888</v>
      </c>
      <c r="F47" s="10">
        <f t="shared" si="4"/>
        <v>4209.0149683475756</v>
      </c>
      <c r="G47" s="10">
        <f t="shared" si="1"/>
        <v>1963.5</v>
      </c>
      <c r="H47" s="49"/>
      <c r="I47" s="19">
        <v>6.3E-2</v>
      </c>
    </row>
    <row r="48" spans="1:24" x14ac:dyDescent="0.25">
      <c r="A48" s="4">
        <f t="shared" si="0"/>
        <v>4</v>
      </c>
      <c r="B48" s="8">
        <f t="shared" si="5"/>
        <v>46</v>
      </c>
      <c r="C48" s="34">
        <f>SUM(D$3:D48)/D$1</f>
        <v>0.2390000924011027</v>
      </c>
      <c r="D48" s="10">
        <f t="shared" si="3"/>
        <v>808.80664579706126</v>
      </c>
      <c r="E48" s="53">
        <f>((((1-F$1)*D$1)-SUM(D$3:D47)+((F$1)*D$1))*(I48/12))</f>
        <v>3400.2083225505144</v>
      </c>
      <c r="F48" s="10">
        <f t="shared" si="4"/>
        <v>4209.0149683475756</v>
      </c>
      <c r="G48" s="10">
        <f t="shared" si="1"/>
        <v>1963.5</v>
      </c>
      <c r="H48" s="49"/>
      <c r="I48" s="19">
        <v>6.3E-2</v>
      </c>
    </row>
    <row r="49" spans="1:9" x14ac:dyDescent="0.25">
      <c r="A49" s="4">
        <f t="shared" si="0"/>
        <v>4</v>
      </c>
      <c r="B49" s="8">
        <f t="shared" si="5"/>
        <v>47</v>
      </c>
      <c r="C49" s="34">
        <f>SUM(D$3:D49)/D$1</f>
        <v>0.23995662520191152</v>
      </c>
      <c r="D49" s="10">
        <f t="shared" si="3"/>
        <v>813.05288068749633</v>
      </c>
      <c r="E49" s="53">
        <f>((((1-F$1)*D$1)-SUM(D$3:D48)+((F$1)*D$1))*(I49/12))</f>
        <v>3395.9620876600793</v>
      </c>
      <c r="F49" s="10">
        <f t="shared" si="4"/>
        <v>4209.0149683475756</v>
      </c>
      <c r="G49" s="10">
        <f t="shared" si="1"/>
        <v>1963.5</v>
      </c>
      <c r="H49" s="49"/>
      <c r="I49" s="19">
        <v>6.3E-2</v>
      </c>
    </row>
    <row r="50" spans="1:9" x14ac:dyDescent="0.25">
      <c r="A50" s="4">
        <f t="shared" si="0"/>
        <v>4</v>
      </c>
      <c r="B50" s="8">
        <f t="shared" si="5"/>
        <v>48</v>
      </c>
      <c r="C50" s="34">
        <f>SUM(D$3:D50)/D$1</f>
        <v>0.24091817979992461</v>
      </c>
      <c r="D50" s="10">
        <f t="shared" si="3"/>
        <v>817.32140831110564</v>
      </c>
      <c r="E50" s="53">
        <f>((((1-F$1)*D$1)-SUM(D$3:D49)+((F$1)*D$1))*(I50/12))</f>
        <v>3391.69356003647</v>
      </c>
      <c r="F50" s="10">
        <f t="shared" si="4"/>
        <v>4209.0149683475756</v>
      </c>
      <c r="G50" s="10">
        <f t="shared" si="1"/>
        <v>1963.5</v>
      </c>
      <c r="H50" s="49"/>
      <c r="I50" s="19">
        <v>6.3E-2</v>
      </c>
    </row>
    <row r="51" spans="1:9" x14ac:dyDescent="0.25">
      <c r="A51" s="4">
        <f t="shared" si="0"/>
        <v>5</v>
      </c>
      <c r="B51" s="8">
        <f t="shared" si="5"/>
        <v>49</v>
      </c>
      <c r="C51" s="34">
        <f>SUM(D$3:D51)/D$1</f>
        <v>0.24188478255957724</v>
      </c>
      <c r="D51" s="10">
        <f t="shared" si="3"/>
        <v>821.61234570473925</v>
      </c>
      <c r="E51" s="53">
        <f>((((1-F$1)*D$1)-SUM(D$3:D50)+((F$1)*D$1))*(I51/12))</f>
        <v>3387.4026226428364</v>
      </c>
      <c r="F51" s="10">
        <f t="shared" si="4"/>
        <v>4209.0149683475756</v>
      </c>
      <c r="G51" s="10">
        <f t="shared" si="1"/>
        <v>1963.5</v>
      </c>
      <c r="H51" s="49"/>
      <c r="I51" s="19">
        <v>6.3E-2</v>
      </c>
    </row>
    <row r="52" spans="1:9" x14ac:dyDescent="0.25">
      <c r="A52" s="4">
        <f t="shared" si="0"/>
        <v>5</v>
      </c>
      <c r="B52" s="8">
        <f t="shared" si="5"/>
        <v>50</v>
      </c>
      <c r="C52" s="34">
        <f>SUM(D$3:D52)/D$1</f>
        <v>0.24285645998371805</v>
      </c>
      <c r="D52" s="10">
        <f t="shared" si="3"/>
        <v>825.92581051968864</v>
      </c>
      <c r="E52" s="53">
        <f>((((1-F$1)*D$1)-SUM(D$3:D51)+((F$1)*D$1))*(I52/12))</f>
        <v>3383.089157827887</v>
      </c>
      <c r="F52" s="10">
        <f t="shared" si="4"/>
        <v>4209.0149683475756</v>
      </c>
      <c r="G52" s="10">
        <f t="shared" si="1"/>
        <v>1963.5</v>
      </c>
      <c r="H52" s="49"/>
      <c r="I52" s="19">
        <v>6.3E-2</v>
      </c>
    </row>
    <row r="53" spans="1:9" x14ac:dyDescent="0.25">
      <c r="A53" s="4">
        <f t="shared" si="0"/>
        <v>5</v>
      </c>
      <c r="B53" s="8">
        <f t="shared" si="5"/>
        <v>51</v>
      </c>
      <c r="C53" s="34">
        <f>SUM(D$3:D53)/D$1</f>
        <v>0.2438332387143356</v>
      </c>
      <c r="D53" s="10">
        <f t="shared" si="3"/>
        <v>830.26192102491723</v>
      </c>
      <c r="E53" s="53">
        <f>((((1-F$1)*D$1)-SUM(D$3:D52)+((F$1)*D$1))*(I53/12))</f>
        <v>3378.7530473226584</v>
      </c>
      <c r="F53" s="10">
        <f t="shared" si="4"/>
        <v>4209.0149683475756</v>
      </c>
      <c r="G53" s="10">
        <f t="shared" si="1"/>
        <v>1963.5</v>
      </c>
      <c r="H53" s="49"/>
      <c r="I53" s="19">
        <v>6.3E-2</v>
      </c>
    </row>
    <row r="54" spans="1:9" x14ac:dyDescent="0.25">
      <c r="A54" s="4">
        <f t="shared" si="0"/>
        <v>5</v>
      </c>
      <c r="B54" s="8">
        <f t="shared" si="5"/>
        <v>52</v>
      </c>
      <c r="C54" s="34">
        <f>SUM(D$3:D54)/D$1</f>
        <v>0.2448151455332889</v>
      </c>
      <c r="D54" s="10">
        <f t="shared" si="3"/>
        <v>834.62079611029776</v>
      </c>
      <c r="E54" s="53">
        <f>((((1-F$1)*D$1)-SUM(D$3:D53)+((F$1)*D$1))*(I54/12))</f>
        <v>3374.3941722372779</v>
      </c>
      <c r="F54" s="10">
        <f t="shared" si="4"/>
        <v>4209.0149683475756</v>
      </c>
      <c r="G54" s="10">
        <f t="shared" si="1"/>
        <v>1963.5</v>
      </c>
      <c r="H54" s="49"/>
      <c r="I54" s="19">
        <v>6.3E-2</v>
      </c>
    </row>
    <row r="55" spans="1:9" x14ac:dyDescent="0.25">
      <c r="A55" s="4">
        <f t="shared" si="0"/>
        <v>5</v>
      </c>
      <c r="B55" s="8">
        <f t="shared" si="5"/>
        <v>53</v>
      </c>
      <c r="C55" s="34">
        <f>SUM(D$3:D55)/D$1</f>
        <v>0.2458022073630417</v>
      </c>
      <c r="D55" s="10">
        <f t="shared" si="3"/>
        <v>839.00255528987736</v>
      </c>
      <c r="E55" s="53">
        <f>((((1-F$1)*D$1)-SUM(D$3:D54)+((F$1)*D$1))*(I55/12))</f>
        <v>3370.0124130576983</v>
      </c>
      <c r="F55" s="10">
        <f t="shared" si="4"/>
        <v>4209.0149683475756</v>
      </c>
      <c r="G55" s="10">
        <f t="shared" si="1"/>
        <v>1963.5</v>
      </c>
      <c r="H55" s="49"/>
      <c r="I55" s="19">
        <v>6.3E-2</v>
      </c>
    </row>
    <row r="56" spans="1:9" x14ac:dyDescent="0.25">
      <c r="A56" s="4">
        <f t="shared" si="0"/>
        <v>5</v>
      </c>
      <c r="B56" s="8">
        <f t="shared" si="5"/>
        <v>54</v>
      </c>
      <c r="C56" s="34">
        <f>SUM(D$3:D56)/D$1</f>
        <v>0.24679445126740071</v>
      </c>
      <c r="D56" s="10">
        <f t="shared" si="3"/>
        <v>843.40731870514901</v>
      </c>
      <c r="E56" s="53">
        <f>((((1-F$1)*D$1)-SUM(D$3:D55)+((F$1)*D$1))*(I56/12))</f>
        <v>3365.6076496424266</v>
      </c>
      <c r="F56" s="10">
        <f t="shared" si="4"/>
        <v>4209.0149683475756</v>
      </c>
      <c r="G56" s="10">
        <f t="shared" si="1"/>
        <v>1963.5</v>
      </c>
      <c r="H56" s="49"/>
      <c r="I56" s="19">
        <v>6.3E-2</v>
      </c>
    </row>
    <row r="57" spans="1:9" x14ac:dyDescent="0.25">
      <c r="A57" s="4">
        <f t="shared" si="0"/>
        <v>5</v>
      </c>
      <c r="B57" s="8">
        <f t="shared" si="5"/>
        <v>55</v>
      </c>
      <c r="C57" s="34">
        <f>SUM(D$3:D57)/D$1</f>
        <v>0.24779190445225757</v>
      </c>
      <c r="D57" s="10">
        <f t="shared" si="3"/>
        <v>847.83520712835116</v>
      </c>
      <c r="E57" s="53">
        <f>((((1-F$1)*D$1)-SUM(D$3:D56)+((F$1)*D$1))*(I57/12))</f>
        <v>3361.1797612192245</v>
      </c>
      <c r="F57" s="10">
        <f t="shared" si="4"/>
        <v>4209.0149683475756</v>
      </c>
      <c r="G57" s="10">
        <f t="shared" si="1"/>
        <v>1963.5</v>
      </c>
      <c r="H57" s="49"/>
      <c r="I57" s="19">
        <v>6.3E-2</v>
      </c>
    </row>
    <row r="58" spans="1:9" x14ac:dyDescent="0.25">
      <c r="A58" s="4">
        <f t="shared" si="0"/>
        <v>5</v>
      </c>
      <c r="B58" s="8">
        <f t="shared" si="5"/>
        <v>56</v>
      </c>
      <c r="C58" s="34">
        <f>SUM(D$3:D58)/D$1</f>
        <v>0.24879459426633496</v>
      </c>
      <c r="D58" s="10">
        <f t="shared" si="3"/>
        <v>852.28634196577468</v>
      </c>
      <c r="E58" s="53">
        <f>((((1-F$1)*D$1)-SUM(D$3:D57)+((F$1)*D$1))*(I58/12))</f>
        <v>3356.728626381801</v>
      </c>
      <c r="F58" s="10">
        <f t="shared" si="4"/>
        <v>4209.0149683475756</v>
      </c>
      <c r="G58" s="10">
        <f t="shared" si="1"/>
        <v>1963.5</v>
      </c>
      <c r="H58" s="49"/>
      <c r="I58" s="19">
        <v>6.3E-2</v>
      </c>
    </row>
    <row r="59" spans="1:9" x14ac:dyDescent="0.25">
      <c r="A59" s="4">
        <f t="shared" si="0"/>
        <v>5</v>
      </c>
      <c r="B59" s="8">
        <f t="shared" si="5"/>
        <v>57</v>
      </c>
      <c r="C59" s="34">
        <f>SUM(D$3:D59)/D$1</f>
        <v>0.24980254820193626</v>
      </c>
      <c r="D59" s="10">
        <f t="shared" si="3"/>
        <v>856.76084526109526</v>
      </c>
      <c r="E59" s="53">
        <f>((((1-F$1)*D$1)-SUM(D$3:D58)+((F$1)*D$1))*(I59/12))</f>
        <v>3352.2541230864804</v>
      </c>
      <c r="F59" s="10">
        <f t="shared" si="4"/>
        <v>4209.0149683475756</v>
      </c>
      <c r="G59" s="10">
        <f t="shared" si="1"/>
        <v>1963.5</v>
      </c>
      <c r="H59" s="49"/>
      <c r="I59" s="19">
        <v>6.3E-2</v>
      </c>
    </row>
    <row r="60" spans="1:9" x14ac:dyDescent="0.25">
      <c r="A60" s="4">
        <f t="shared" si="0"/>
        <v>5</v>
      </c>
      <c r="B60" s="8">
        <f t="shared" si="5"/>
        <v>58</v>
      </c>
      <c r="C60" s="34">
        <f>SUM(D$3:D60)/D$1</f>
        <v>0.25081579389569947</v>
      </c>
      <c r="D60" s="10">
        <f t="shared" si="3"/>
        <v>861.2588396987162</v>
      </c>
      <c r="E60" s="53">
        <f>((((1-F$1)*D$1)-SUM(D$3:D59)+((F$1)*D$1))*(I60/12))</f>
        <v>3347.7561286488594</v>
      </c>
      <c r="F60" s="10">
        <f t="shared" si="4"/>
        <v>4209.0149683475756</v>
      </c>
      <c r="G60" s="10">
        <f t="shared" si="1"/>
        <v>1963.5</v>
      </c>
      <c r="H60" s="49"/>
      <c r="I60" s="19">
        <v>6.3E-2</v>
      </c>
    </row>
    <row r="61" spans="1:9" x14ac:dyDescent="0.25">
      <c r="A61" s="4">
        <f t="shared" si="0"/>
        <v>5</v>
      </c>
      <c r="B61" s="8">
        <f t="shared" si="5"/>
        <v>59</v>
      </c>
      <c r="C61" s="34">
        <f>SUM(D$3:D61)/D$1</f>
        <v>0.25183435912935492</v>
      </c>
      <c r="D61" s="10">
        <f t="shared" si="3"/>
        <v>865.78044860713453</v>
      </c>
      <c r="E61" s="53">
        <f>((((1-F$1)*D$1)-SUM(D$3:D60)+((F$1)*D$1))*(I61/12))</f>
        <v>3343.2345197404411</v>
      </c>
      <c r="F61" s="10">
        <f t="shared" si="4"/>
        <v>4209.0149683475756</v>
      </c>
      <c r="G61" s="10">
        <f t="shared" si="1"/>
        <v>1963.5</v>
      </c>
      <c r="H61" s="49"/>
      <c r="I61" s="19">
        <v>6.3E-2</v>
      </c>
    </row>
    <row r="62" spans="1:9" x14ac:dyDescent="0.25">
      <c r="A62" s="4">
        <f t="shared" si="0"/>
        <v>5</v>
      </c>
      <c r="B62" s="8">
        <f t="shared" si="5"/>
        <v>60</v>
      </c>
      <c r="C62" s="34">
        <f>SUM(D$3:D62)/D$1</f>
        <v>0.25285827183048709</v>
      </c>
      <c r="D62" s="10">
        <f t="shared" si="3"/>
        <v>870.32579596232154</v>
      </c>
      <c r="E62" s="53">
        <f>((((1-F$1)*D$1)-SUM(D$3:D61)+((F$1)*D$1))*(I62/12))</f>
        <v>3338.6891723852541</v>
      </c>
      <c r="F62" s="10">
        <f t="shared" si="4"/>
        <v>4209.0149683475756</v>
      </c>
      <c r="G62" s="10">
        <f t="shared" si="1"/>
        <v>1963.5</v>
      </c>
      <c r="H62" s="49"/>
      <c r="I62" s="19">
        <v>6.3E-2</v>
      </c>
    </row>
    <row r="63" spans="1:9" x14ac:dyDescent="0.25">
      <c r="A63" s="4">
        <f t="shared" si="0"/>
        <v>6</v>
      </c>
      <c r="B63" s="8">
        <f t="shared" si="5"/>
        <v>61</v>
      </c>
      <c r="C63" s="34">
        <f>SUM(D$3:D63)/D$1</f>
        <v>0.25388756007330016</v>
      </c>
      <c r="D63" s="10">
        <f t="shared" si="3"/>
        <v>874.89500639112384</v>
      </c>
      <c r="E63" s="53">
        <f>((((1-F$1)*D$1)-SUM(D$3:D62)+((F$1)*D$1))*(I63/12))</f>
        <v>3334.1199619564518</v>
      </c>
      <c r="F63" s="10">
        <f t="shared" si="4"/>
        <v>4209.0149683475756</v>
      </c>
      <c r="G63" s="10">
        <f t="shared" si="1"/>
        <v>1963.5</v>
      </c>
      <c r="H63" s="49"/>
      <c r="I63" s="19">
        <v>6.3E-2</v>
      </c>
    </row>
    <row r="64" spans="1:9" x14ac:dyDescent="0.25">
      <c r="A64" s="4">
        <f t="shared" si="0"/>
        <v>6</v>
      </c>
      <c r="B64" s="8">
        <f t="shared" si="5"/>
        <v>62</v>
      </c>
      <c r="C64" s="34">
        <f>SUM(D$3:D64)/D$1</f>
        <v>0.25492225207938801</v>
      </c>
      <c r="D64" s="10">
        <f t="shared" si="3"/>
        <v>879.4882051746772</v>
      </c>
      <c r="E64" s="53">
        <f>((((1-F$1)*D$1)-SUM(D$3:D63)+((F$1)*D$1))*(I64/12))</f>
        <v>3329.5267631728984</v>
      </c>
      <c r="F64" s="10">
        <f t="shared" si="4"/>
        <v>4209.0149683475756</v>
      </c>
      <c r="G64" s="10">
        <f t="shared" si="1"/>
        <v>1963.5</v>
      </c>
      <c r="H64" s="49"/>
      <c r="I64" s="19">
        <v>6.3E-2</v>
      </c>
    </row>
    <row r="65" spans="1:9" x14ac:dyDescent="0.25">
      <c r="A65" s="4">
        <f t="shared" si="0"/>
        <v>6</v>
      </c>
      <c r="B65" s="8">
        <f t="shared" si="5"/>
        <v>63</v>
      </c>
      <c r="C65" s="34">
        <f>SUM(D$3:D65)/D$1</f>
        <v>0.25596237621850781</v>
      </c>
      <c r="D65" s="10">
        <f t="shared" si="3"/>
        <v>884.10551825184439</v>
      </c>
      <c r="E65" s="53">
        <f>((((1-F$1)*D$1)-SUM(D$3:D64)+((F$1)*D$1))*(I65/12))</f>
        <v>3324.9094500957312</v>
      </c>
      <c r="F65" s="10">
        <f t="shared" si="4"/>
        <v>4209.0149683475756</v>
      </c>
      <c r="G65" s="10">
        <f t="shared" si="1"/>
        <v>1963.5</v>
      </c>
      <c r="H65" s="49"/>
      <c r="I65" s="19">
        <v>6.3E-2</v>
      </c>
    </row>
    <row r="66" spans="1:9" x14ac:dyDescent="0.25">
      <c r="A66" s="4">
        <f t="shared" si="0"/>
        <v>6</v>
      </c>
      <c r="B66" s="8">
        <f t="shared" si="5"/>
        <v>64</v>
      </c>
      <c r="C66" s="34">
        <f>SUM(D$3:D66)/D$1</f>
        <v>0.25700796100935802</v>
      </c>
      <c r="D66" s="10">
        <f t="shared" si="3"/>
        <v>888.7470722226667</v>
      </c>
      <c r="E66" s="53">
        <f>((((1-F$1)*D$1)-SUM(D$3:D65)+((F$1)*D$1))*(I66/12))</f>
        <v>3320.2678961249089</v>
      </c>
      <c r="F66" s="10">
        <f t="shared" si="4"/>
        <v>4209.0149683475756</v>
      </c>
      <c r="G66" s="10">
        <f t="shared" si="1"/>
        <v>1963.5</v>
      </c>
      <c r="H66" s="49"/>
      <c r="I66" s="19">
        <v>6.3E-2</v>
      </c>
    </row>
    <row r="67" spans="1:9" x14ac:dyDescent="0.25">
      <c r="A67" s="4">
        <f t="shared" si="0"/>
        <v>6</v>
      </c>
      <c r="B67" s="8">
        <f t="shared" si="5"/>
        <v>65</v>
      </c>
      <c r="C67" s="34">
        <f>SUM(D$3:D67)/D$1</f>
        <v>0.25805903512036021</v>
      </c>
      <c r="D67" s="10">
        <f t="shared" si="3"/>
        <v>893.41299435183555</v>
      </c>
      <c r="E67" s="53">
        <f>((((1-F$1)*D$1)-SUM(D$3:D66)+((F$1)*D$1))*(I67/12))</f>
        <v>3315.6019739957401</v>
      </c>
      <c r="F67" s="10">
        <f t="shared" si="4"/>
        <v>4209.0149683475756</v>
      </c>
      <c r="G67" s="10">
        <f t="shared" si="1"/>
        <v>1963.5</v>
      </c>
      <c r="H67" s="49"/>
      <c r="I67" s="19">
        <v>6.3E-2</v>
      </c>
    </row>
    <row r="68" spans="1:9" x14ac:dyDescent="0.25">
      <c r="A68" s="4">
        <f t="shared" ref="A68:A131" si="6">ROUNDUP(B68/12,0)</f>
        <v>6</v>
      </c>
      <c r="B68" s="8">
        <f t="shared" si="5"/>
        <v>66</v>
      </c>
      <c r="C68" s="34">
        <f>SUM(D$3:D68)/D$1</f>
        <v>0.25911562737044513</v>
      </c>
      <c r="D68" s="10">
        <f t="shared" si="3"/>
        <v>898.10341257218261</v>
      </c>
      <c r="E68" s="53">
        <f>((((1-F$1)*D$1)-SUM(D$3:D67)+((F$1)*D$1))*(I68/12))</f>
        <v>3310.911555775393</v>
      </c>
      <c r="F68" s="10">
        <f t="shared" si="4"/>
        <v>4209.0149683475756</v>
      </c>
      <c r="G68" s="10">
        <f t="shared" ref="G68:G131" si="7">(9800+11262+2500)/12</f>
        <v>1963.5</v>
      </c>
      <c r="H68" s="49"/>
      <c r="I68" s="19">
        <v>6.3E-2</v>
      </c>
    </row>
    <row r="69" spans="1:9" x14ac:dyDescent="0.25">
      <c r="A69" s="4">
        <f t="shared" si="6"/>
        <v>6</v>
      </c>
      <c r="B69" s="8">
        <f t="shared" si="5"/>
        <v>67</v>
      </c>
      <c r="C69" s="34">
        <f>SUM(D$3:D69)/D$1</f>
        <v>0.260177766729843</v>
      </c>
      <c r="D69" s="10">
        <f t="shared" ref="D69:D132" si="8">F69-E69</f>
        <v>902.81845548818683</v>
      </c>
      <c r="E69" s="53">
        <f>((((1-F$1)*D$1)-SUM(D$3:D68)+((F$1)*D$1))*(I69/12))</f>
        <v>3306.1965128593888</v>
      </c>
      <c r="F69" s="10">
        <f t="shared" ref="F69:F132" si="9">((1-F$1)*D$1)*(((I69/12)*((1+(I69/12))^(12*30)))/(((1+(I69/12))^(12*30))-1))</f>
        <v>4209.0149683475756</v>
      </c>
      <c r="G69" s="10">
        <f t="shared" si="7"/>
        <v>1963.5</v>
      </c>
      <c r="H69" s="49"/>
      <c r="I69" s="19">
        <v>6.3E-2</v>
      </c>
    </row>
    <row r="70" spans="1:9" x14ac:dyDescent="0.25">
      <c r="A70" s="4">
        <f t="shared" si="6"/>
        <v>6</v>
      </c>
      <c r="B70" s="8">
        <f t="shared" si="5"/>
        <v>68</v>
      </c>
      <c r="C70" s="34">
        <f>SUM(D$3:D70)/D$1</f>
        <v>0.26124548232087769</v>
      </c>
      <c r="D70" s="10">
        <f t="shared" si="8"/>
        <v>907.55825237949966</v>
      </c>
      <c r="E70" s="53">
        <f>((((1-F$1)*D$1)-SUM(D$3:D69)+((F$1)*D$1))*(I70/12))</f>
        <v>3301.456715968076</v>
      </c>
      <c r="F70" s="10">
        <f t="shared" si="9"/>
        <v>4209.0149683475756</v>
      </c>
      <c r="G70" s="10">
        <f t="shared" si="7"/>
        <v>1963.5</v>
      </c>
      <c r="H70" s="49"/>
      <c r="I70" s="19">
        <v>6.3E-2</v>
      </c>
    </row>
    <row r="71" spans="1:9" x14ac:dyDescent="0.25">
      <c r="A71" s="4">
        <f t="shared" si="6"/>
        <v>6</v>
      </c>
      <c r="B71" s="8">
        <f t="shared" si="5"/>
        <v>69</v>
      </c>
      <c r="C71" s="34">
        <f>SUM(D$3:D71)/D$1</f>
        <v>0.26231880341876535</v>
      </c>
      <c r="D71" s="10">
        <f t="shared" si="8"/>
        <v>912.32293320449207</v>
      </c>
      <c r="E71" s="53">
        <f>((((1-F$1)*D$1)-SUM(D$3:D70)+((F$1)*D$1))*(I71/12))</f>
        <v>3296.6920351430836</v>
      </c>
      <c r="F71" s="10">
        <f t="shared" si="9"/>
        <v>4209.0149683475756</v>
      </c>
      <c r="G71" s="10">
        <f t="shared" si="7"/>
        <v>1963.5</v>
      </c>
      <c r="H71" s="49"/>
      <c r="I71" s="19">
        <v>6.3E-2</v>
      </c>
    </row>
    <row r="72" spans="1:9" x14ac:dyDescent="0.25">
      <c r="A72" s="4">
        <f t="shared" si="6"/>
        <v>6</v>
      </c>
      <c r="B72" s="8">
        <f t="shared" si="5"/>
        <v>70</v>
      </c>
      <c r="C72" s="34">
        <f>SUM(D$3:D72)/D$1</f>
        <v>0.26339775945241689</v>
      </c>
      <c r="D72" s="10">
        <f t="shared" si="8"/>
        <v>917.11262860381566</v>
      </c>
      <c r="E72" s="53">
        <f>((((1-F$1)*D$1)-SUM(D$3:D71)+((F$1)*D$1))*(I72/12))</f>
        <v>3291.90233974376</v>
      </c>
      <c r="F72" s="10">
        <f t="shared" si="9"/>
        <v>4209.0149683475756</v>
      </c>
      <c r="G72" s="10">
        <f t="shared" si="7"/>
        <v>1963.5</v>
      </c>
      <c r="H72" s="49"/>
      <c r="I72" s="19">
        <v>6.3E-2</v>
      </c>
    </row>
    <row r="73" spans="1:9" x14ac:dyDescent="0.25">
      <c r="A73" s="4">
        <f t="shared" si="6"/>
        <v>6</v>
      </c>
      <c r="B73" s="8">
        <f t="shared" si="5"/>
        <v>71</v>
      </c>
      <c r="C73" s="34">
        <f>SUM(D$3:D73)/D$1</f>
        <v>0.2644823800052451</v>
      </c>
      <c r="D73" s="10">
        <f t="shared" si="8"/>
        <v>921.92746990398564</v>
      </c>
      <c r="E73" s="53">
        <f>((((1-F$1)*D$1)-SUM(D$3:D72)+((F$1)*D$1))*(I73/12))</f>
        <v>3287.08749844359</v>
      </c>
      <c r="F73" s="10">
        <f t="shared" si="9"/>
        <v>4209.0149683475756</v>
      </c>
      <c r="G73" s="10">
        <f t="shared" si="7"/>
        <v>1963.5</v>
      </c>
      <c r="H73" s="49"/>
      <c r="I73" s="19">
        <v>6.3E-2</v>
      </c>
    </row>
    <row r="74" spans="1:9" x14ac:dyDescent="0.25">
      <c r="A74" s="4">
        <f t="shared" si="6"/>
        <v>6</v>
      </c>
      <c r="B74" s="8">
        <f t="shared" si="5"/>
        <v>72</v>
      </c>
      <c r="C74" s="34">
        <f>SUM(D$3:D74)/D$1</f>
        <v>0.26557269481597567</v>
      </c>
      <c r="D74" s="10">
        <f t="shared" si="8"/>
        <v>926.76758912098148</v>
      </c>
      <c r="E74" s="53">
        <f>((((1-F$1)*D$1)-SUM(D$3:D73)+((F$1)*D$1))*(I74/12))</f>
        <v>3282.2473792265941</v>
      </c>
      <c r="F74" s="10">
        <f t="shared" si="9"/>
        <v>4209.0149683475756</v>
      </c>
      <c r="G74" s="10">
        <f t="shared" si="7"/>
        <v>1963.5</v>
      </c>
      <c r="H74" s="49"/>
      <c r="I74" s="19">
        <v>6.3E-2</v>
      </c>
    </row>
    <row r="75" spans="1:9" x14ac:dyDescent="0.25">
      <c r="A75" s="4">
        <f t="shared" si="6"/>
        <v>7</v>
      </c>
      <c r="B75" s="8">
        <f t="shared" si="5"/>
        <v>73</v>
      </c>
      <c r="C75" s="34">
        <f>SUM(D$3:D75)/D$1</f>
        <v>0.26666873377946254</v>
      </c>
      <c r="D75" s="10">
        <f t="shared" si="8"/>
        <v>931.63311896386676</v>
      </c>
      <c r="E75" s="53">
        <f>((((1-F$1)*D$1)-SUM(D$3:D74)+((F$1)*D$1))*(I75/12))</f>
        <v>3277.3818493837089</v>
      </c>
      <c r="F75" s="10">
        <f t="shared" si="9"/>
        <v>4209.0149683475756</v>
      </c>
      <c r="G75" s="10">
        <f t="shared" si="7"/>
        <v>1963.5</v>
      </c>
      <c r="H75" s="49"/>
      <c r="I75" s="19">
        <v>6.3E-2</v>
      </c>
    </row>
    <row r="76" spans="1:9" x14ac:dyDescent="0.25">
      <c r="A76" s="4">
        <f t="shared" si="6"/>
        <v>7</v>
      </c>
      <c r="B76" s="8">
        <f t="shared" si="5"/>
        <v>74</v>
      </c>
      <c r="C76" s="34">
        <f>SUM(D$3:D76)/D$1</f>
        <v>0.2677705269475078</v>
      </c>
      <c r="D76" s="10">
        <f t="shared" si="8"/>
        <v>936.5241928384271</v>
      </c>
      <c r="E76" s="53">
        <f>((((1-F$1)*D$1)-SUM(D$3:D75)+((F$1)*D$1))*(I76/12))</f>
        <v>3272.4907755091485</v>
      </c>
      <c r="F76" s="10">
        <f t="shared" si="9"/>
        <v>4209.0149683475756</v>
      </c>
      <c r="G76" s="10">
        <f t="shared" si="7"/>
        <v>1963.5</v>
      </c>
      <c r="H76" s="49"/>
      <c r="I76" s="19">
        <v>6.3E-2</v>
      </c>
    </row>
    <row r="77" spans="1:9" x14ac:dyDescent="0.25">
      <c r="A77" s="4">
        <f t="shared" si="6"/>
        <v>7</v>
      </c>
      <c r="B77" s="8">
        <f t="shared" si="5"/>
        <v>75</v>
      </c>
      <c r="C77" s="34">
        <f>SUM(D$3:D77)/D$1</f>
        <v>0.26887810452968525</v>
      </c>
      <c r="D77" s="10">
        <f t="shared" si="8"/>
        <v>941.44094485082906</v>
      </c>
      <c r="E77" s="53">
        <f>((((1-F$1)*D$1)-SUM(D$3:D76)+((F$1)*D$1))*(I77/12))</f>
        <v>3267.5740234967466</v>
      </c>
      <c r="F77" s="10">
        <f t="shared" si="9"/>
        <v>4209.0149683475756</v>
      </c>
      <c r="G77" s="10">
        <f t="shared" si="7"/>
        <v>1963.5</v>
      </c>
      <c r="H77" s="49"/>
      <c r="I77" s="19">
        <v>6.3E-2</v>
      </c>
    </row>
    <row r="78" spans="1:9" x14ac:dyDescent="0.25">
      <c r="A78" s="4">
        <f t="shared" si="6"/>
        <v>7</v>
      </c>
      <c r="B78" s="8">
        <f t="shared" si="5"/>
        <v>76</v>
      </c>
      <c r="C78" s="34">
        <f>SUM(D$3:D78)/D$1</f>
        <v>0.26999149689416913</v>
      </c>
      <c r="D78" s="10">
        <f t="shared" si="8"/>
        <v>946.38350981129588</v>
      </c>
      <c r="E78" s="53">
        <f>((((1-F$1)*D$1)-SUM(D$3:D77)+((F$1)*D$1))*(I78/12))</f>
        <v>3262.6314585362798</v>
      </c>
      <c r="F78" s="10">
        <f t="shared" si="9"/>
        <v>4209.0149683475756</v>
      </c>
      <c r="G78" s="10">
        <f t="shared" si="7"/>
        <v>1963.5</v>
      </c>
      <c r="H78" s="49"/>
      <c r="I78" s="19">
        <v>6.3E-2</v>
      </c>
    </row>
    <row r="79" spans="1:9" x14ac:dyDescent="0.25">
      <c r="A79" s="4">
        <f t="shared" si="6"/>
        <v>7</v>
      </c>
      <c r="B79" s="8">
        <f t="shared" si="5"/>
        <v>77</v>
      </c>
      <c r="C79" s="34">
        <f>SUM(D$3:D79)/D$1</f>
        <v>0.27111073456856649</v>
      </c>
      <c r="D79" s="10">
        <f t="shared" si="8"/>
        <v>951.35202323780504</v>
      </c>
      <c r="E79" s="53">
        <f>((((1-F$1)*D$1)-SUM(D$3:D78)+((F$1)*D$1))*(I79/12))</f>
        <v>3257.6629451097706</v>
      </c>
      <c r="F79" s="10">
        <f t="shared" si="9"/>
        <v>4209.0149683475756</v>
      </c>
      <c r="G79" s="10">
        <f t="shared" si="7"/>
        <v>1963.5</v>
      </c>
      <c r="H79" s="49"/>
      <c r="I79" s="19">
        <v>6.3E-2</v>
      </c>
    </row>
    <row r="80" spans="1:9" x14ac:dyDescent="0.25">
      <c r="A80" s="4">
        <f t="shared" si="6"/>
        <v>7</v>
      </c>
      <c r="B80" s="8">
        <f t="shared" si="5"/>
        <v>78</v>
      </c>
      <c r="C80" s="34">
        <f>SUM(D$3:D80)/D$1</f>
        <v>0.27223584824075453</v>
      </c>
      <c r="D80" s="10">
        <f t="shared" si="8"/>
        <v>956.34662135980352</v>
      </c>
      <c r="E80" s="53">
        <f>((((1-F$1)*D$1)-SUM(D$3:D79)+((F$1)*D$1))*(I80/12))</f>
        <v>3252.6683469877721</v>
      </c>
      <c r="F80" s="10">
        <f t="shared" si="9"/>
        <v>4209.0149683475756</v>
      </c>
      <c r="G80" s="10">
        <f t="shared" si="7"/>
        <v>1963.5</v>
      </c>
      <c r="H80" s="49"/>
      <c r="I80" s="19">
        <v>6.3E-2</v>
      </c>
    </row>
    <row r="81" spans="1:9" x14ac:dyDescent="0.25">
      <c r="A81" s="4">
        <f t="shared" si="6"/>
        <v>7</v>
      </c>
      <c r="B81" s="8">
        <f t="shared" si="5"/>
        <v>79</v>
      </c>
      <c r="C81" s="34">
        <f>SUM(D$3:D81)/D$1</f>
        <v>0.27336686875972155</v>
      </c>
      <c r="D81" s="10">
        <f t="shared" si="8"/>
        <v>961.36744112194265</v>
      </c>
      <c r="E81" s="53">
        <f>((((1-F$1)*D$1)-SUM(D$3:D80)+((F$1)*D$1))*(I81/12))</f>
        <v>3247.647527225633</v>
      </c>
      <c r="F81" s="10">
        <f t="shared" si="9"/>
        <v>4209.0149683475756</v>
      </c>
      <c r="G81" s="10">
        <f t="shared" si="7"/>
        <v>1963.5</v>
      </c>
      <c r="H81" s="49"/>
      <c r="I81" s="19">
        <v>6.3E-2</v>
      </c>
    </row>
    <row r="82" spans="1:9" x14ac:dyDescent="0.25">
      <c r="A82" s="4">
        <f t="shared" si="6"/>
        <v>7</v>
      </c>
      <c r="B82" s="8">
        <f t="shared" si="5"/>
        <v>80</v>
      </c>
      <c r="C82" s="34">
        <f>SUM(D$3:D82)/D$1</f>
        <v>0.27450382713641308</v>
      </c>
      <c r="D82" s="10">
        <f t="shared" si="8"/>
        <v>966.41462018783295</v>
      </c>
      <c r="E82" s="53">
        <f>((((1-F$1)*D$1)-SUM(D$3:D81)+((F$1)*D$1))*(I82/12))</f>
        <v>3242.6003481597427</v>
      </c>
      <c r="F82" s="10">
        <f t="shared" si="9"/>
        <v>4209.0149683475756</v>
      </c>
      <c r="G82" s="10">
        <f t="shared" si="7"/>
        <v>1963.5</v>
      </c>
      <c r="H82" s="49"/>
      <c r="I82" s="19">
        <v>6.3E-2</v>
      </c>
    </row>
    <row r="83" spans="1:9" x14ac:dyDescent="0.25">
      <c r="A83" s="4">
        <f t="shared" si="6"/>
        <v>7</v>
      </c>
      <c r="B83" s="8">
        <f t="shared" si="5"/>
        <v>81</v>
      </c>
      <c r="C83" s="34">
        <f>SUM(D$3:D83)/D$1</f>
        <v>0.27564675454458232</v>
      </c>
      <c r="D83" s="10">
        <f t="shared" si="8"/>
        <v>971.48829694381902</v>
      </c>
      <c r="E83" s="53">
        <f>((((1-F$1)*D$1)-SUM(D$3:D82)+((F$1)*D$1))*(I83/12))</f>
        <v>3237.5266714037566</v>
      </c>
      <c r="F83" s="10">
        <f t="shared" si="9"/>
        <v>4209.0149683475756</v>
      </c>
      <c r="G83" s="10">
        <f t="shared" si="7"/>
        <v>1963.5</v>
      </c>
      <c r="H83" s="49"/>
      <c r="I83" s="19">
        <v>6.3E-2</v>
      </c>
    </row>
    <row r="84" spans="1:9" x14ac:dyDescent="0.25">
      <c r="A84" s="4">
        <f t="shared" si="6"/>
        <v>7</v>
      </c>
      <c r="B84" s="8">
        <f t="shared" si="5"/>
        <v>82</v>
      </c>
      <c r="C84" s="34">
        <f>SUM(D$3:D84)/D$1</f>
        <v>0.27679568232164442</v>
      </c>
      <c r="D84" s="10">
        <f t="shared" si="8"/>
        <v>976.58861050277437</v>
      </c>
      <c r="E84" s="53">
        <f>((((1-F$1)*D$1)-SUM(D$3:D83)+((F$1)*D$1))*(I84/12))</f>
        <v>3232.4263578448013</v>
      </c>
      <c r="F84" s="10">
        <f t="shared" si="9"/>
        <v>4209.0149683475756</v>
      </c>
      <c r="G84" s="10">
        <f t="shared" si="7"/>
        <v>1963.5</v>
      </c>
      <c r="H84" s="49"/>
      <c r="I84" s="19">
        <v>6.3E-2</v>
      </c>
    </row>
    <row r="85" spans="1:9" x14ac:dyDescent="0.25">
      <c r="A85" s="4">
        <f t="shared" si="6"/>
        <v>7</v>
      </c>
      <c r="B85" s="8">
        <f t="shared" si="5"/>
        <v>83</v>
      </c>
      <c r="C85" s="34">
        <f>SUM(D$3:D85)/D$1</f>
        <v>0.27795064196953606</v>
      </c>
      <c r="D85" s="10">
        <f t="shared" si="8"/>
        <v>981.71570070791358</v>
      </c>
      <c r="E85" s="53">
        <f>((((1-F$1)*D$1)-SUM(D$3:D84)+((F$1)*D$1))*(I85/12))</f>
        <v>3227.299267639662</v>
      </c>
      <c r="F85" s="10">
        <f t="shared" si="9"/>
        <v>4209.0149683475756</v>
      </c>
      <c r="G85" s="10">
        <f t="shared" si="7"/>
        <v>1963.5</v>
      </c>
      <c r="H85" s="49"/>
      <c r="I85" s="19">
        <v>6.3E-2</v>
      </c>
    </row>
    <row r="86" spans="1:9" x14ac:dyDescent="0.25">
      <c r="A86" s="4">
        <f t="shared" si="6"/>
        <v>7</v>
      </c>
      <c r="B86" s="8">
        <f t="shared" si="5"/>
        <v>84</v>
      </c>
      <c r="C86" s="34">
        <f>SUM(D$3:D86)/D$1</f>
        <v>0.27911166515557917</v>
      </c>
      <c r="D86" s="10">
        <f t="shared" si="8"/>
        <v>986.86970813662992</v>
      </c>
      <c r="E86" s="53">
        <f>((((1-F$1)*D$1)-SUM(D$3:D85)+((F$1)*D$1))*(I86/12))</f>
        <v>3222.1452602109457</v>
      </c>
      <c r="F86" s="10">
        <f t="shared" si="9"/>
        <v>4209.0149683475756</v>
      </c>
      <c r="G86" s="10">
        <f t="shared" si="7"/>
        <v>1963.5</v>
      </c>
      <c r="H86" s="49"/>
      <c r="I86" s="19">
        <v>6.3E-2</v>
      </c>
    </row>
    <row r="87" spans="1:9" x14ac:dyDescent="0.25">
      <c r="A87" s="4">
        <f t="shared" si="6"/>
        <v>8</v>
      </c>
      <c r="B87" s="8">
        <f t="shared" si="5"/>
        <v>85</v>
      </c>
      <c r="C87" s="34">
        <f>SUM(D$3:D87)/D$1</f>
        <v>0.28027878371334897</v>
      </c>
      <c r="D87" s="10">
        <f t="shared" si="8"/>
        <v>992.05077410434751</v>
      </c>
      <c r="E87" s="53">
        <f>((((1-F$1)*D$1)-SUM(D$3:D86)+((F$1)*D$1))*(I87/12))</f>
        <v>3216.9641942432281</v>
      </c>
      <c r="F87" s="10">
        <f t="shared" si="9"/>
        <v>4209.0149683475756</v>
      </c>
      <c r="G87" s="10">
        <f t="shared" si="7"/>
        <v>1963.5</v>
      </c>
      <c r="H87" s="49"/>
      <c r="I87" s="19">
        <v>6.3E-2</v>
      </c>
    </row>
    <row r="88" spans="1:9" x14ac:dyDescent="0.25">
      <c r="A88" s="4">
        <f t="shared" si="6"/>
        <v>8</v>
      </c>
      <c r="B88" s="8">
        <f t="shared" si="5"/>
        <v>86</v>
      </c>
      <c r="C88" s="34">
        <f>SUM(D$3:D88)/D$1</f>
        <v>0.2814520296435471</v>
      </c>
      <c r="D88" s="10">
        <f t="shared" si="8"/>
        <v>997.2590406683953</v>
      </c>
      <c r="E88" s="53">
        <f>((((1-F$1)*D$1)-SUM(D$3:D87)+((F$1)*D$1))*(I88/12))</f>
        <v>3211.7559276791803</v>
      </c>
      <c r="F88" s="10">
        <f t="shared" si="9"/>
        <v>4209.0149683475756</v>
      </c>
      <c r="G88" s="10">
        <f t="shared" si="7"/>
        <v>1963.5</v>
      </c>
      <c r="H88" s="49"/>
      <c r="I88" s="19">
        <v>6.3E-2</v>
      </c>
    </row>
    <row r="89" spans="1:9" x14ac:dyDescent="0.25">
      <c r="A89" s="4">
        <f t="shared" si="6"/>
        <v>8</v>
      </c>
      <c r="B89" s="8">
        <f t="shared" si="5"/>
        <v>87</v>
      </c>
      <c r="C89" s="34">
        <f>SUM(D$3:D89)/D$1</f>
        <v>0.28263143511487876</v>
      </c>
      <c r="D89" s="10">
        <f t="shared" si="8"/>
        <v>1002.4946506319047</v>
      </c>
      <c r="E89" s="53">
        <f>((((1-F$1)*D$1)-SUM(D$3:D88)+((F$1)*D$1))*(I89/12))</f>
        <v>3206.5203177156709</v>
      </c>
      <c r="F89" s="10">
        <f t="shared" si="9"/>
        <v>4209.0149683475756</v>
      </c>
      <c r="G89" s="10">
        <f t="shared" si="7"/>
        <v>1963.5</v>
      </c>
      <c r="H89" s="49"/>
      <c r="I89" s="19">
        <v>6.3E-2</v>
      </c>
    </row>
    <row r="90" spans="1:9" x14ac:dyDescent="0.25">
      <c r="A90" s="4">
        <f t="shared" si="6"/>
        <v>8</v>
      </c>
      <c r="B90" s="8">
        <f t="shared" si="5"/>
        <v>88</v>
      </c>
      <c r="C90" s="34">
        <f>SUM(D$3:D90)/D$1</f>
        <v>0.28381703246493489</v>
      </c>
      <c r="D90" s="10">
        <f t="shared" si="8"/>
        <v>1007.7577475477224</v>
      </c>
      <c r="E90" s="53">
        <f>((((1-F$1)*D$1)-SUM(D$3:D89)+((F$1)*D$1))*(I90/12))</f>
        <v>3201.2572207998533</v>
      </c>
      <c r="F90" s="10">
        <f t="shared" si="9"/>
        <v>4209.0149683475756</v>
      </c>
      <c r="G90" s="10">
        <f t="shared" si="7"/>
        <v>1963.5</v>
      </c>
      <c r="H90" s="49"/>
      <c r="I90" s="19">
        <v>6.3E-2</v>
      </c>
    </row>
    <row r="91" spans="1:9" x14ac:dyDescent="0.25">
      <c r="A91" s="4">
        <f t="shared" si="6"/>
        <v>8</v>
      </c>
      <c r="B91" s="8">
        <f t="shared" si="5"/>
        <v>89</v>
      </c>
      <c r="C91" s="34">
        <f>SUM(D$3:D91)/D$1</f>
        <v>0.28500885420107885</v>
      </c>
      <c r="D91" s="10">
        <f t="shared" si="8"/>
        <v>1013.0484757223476</v>
      </c>
      <c r="E91" s="53">
        <f>((((1-F$1)*D$1)-SUM(D$3:D90)+((F$1)*D$1))*(I91/12))</f>
        <v>3195.9664926252281</v>
      </c>
      <c r="F91" s="10">
        <f t="shared" si="9"/>
        <v>4209.0149683475756</v>
      </c>
      <c r="G91" s="10">
        <f t="shared" si="7"/>
        <v>1963.5</v>
      </c>
      <c r="H91" s="49"/>
      <c r="I91" s="19">
        <v>6.3E-2</v>
      </c>
    </row>
    <row r="92" spans="1:9" x14ac:dyDescent="0.25">
      <c r="A92" s="4">
        <f t="shared" si="6"/>
        <v>8</v>
      </c>
      <c r="B92" s="8">
        <f t="shared" si="5"/>
        <v>90</v>
      </c>
      <c r="C92" s="34">
        <f>SUM(D$3:D92)/D$1</f>
        <v>0.28620693300133754</v>
      </c>
      <c r="D92" s="10">
        <f t="shared" si="8"/>
        <v>1018.3669802198897</v>
      </c>
      <c r="E92" s="53">
        <f>((((1-F$1)*D$1)-SUM(D$3:D91)+((F$1)*D$1))*(I92/12))</f>
        <v>3190.6479881276859</v>
      </c>
      <c r="F92" s="10">
        <f t="shared" si="9"/>
        <v>4209.0149683475756</v>
      </c>
      <c r="G92" s="10">
        <f t="shared" si="7"/>
        <v>1963.5</v>
      </c>
      <c r="H92" s="49"/>
      <c r="I92" s="19">
        <v>6.3E-2</v>
      </c>
    </row>
    <row r="93" spans="1:9" x14ac:dyDescent="0.25">
      <c r="A93" s="4">
        <f t="shared" si="6"/>
        <v>8</v>
      </c>
      <c r="B93" s="8">
        <f t="shared" si="5"/>
        <v>91</v>
      </c>
      <c r="C93" s="34">
        <f>SUM(D$3:D93)/D$1</f>
        <v>0.28741130171529761</v>
      </c>
      <c r="D93" s="10">
        <f t="shared" si="8"/>
        <v>1023.7134068660448</v>
      </c>
      <c r="E93" s="53">
        <f>((((1-F$1)*D$1)-SUM(D$3:D92)+((F$1)*D$1))*(I93/12))</f>
        <v>3185.3015614815308</v>
      </c>
      <c r="F93" s="10">
        <f t="shared" si="9"/>
        <v>4209.0149683475756</v>
      </c>
      <c r="G93" s="10">
        <f t="shared" si="7"/>
        <v>1963.5</v>
      </c>
      <c r="H93" s="49"/>
      <c r="I93" s="19">
        <v>6.3E-2</v>
      </c>
    </row>
    <row r="94" spans="1:9" x14ac:dyDescent="0.25">
      <c r="A94" s="4">
        <f t="shared" si="6"/>
        <v>8</v>
      </c>
      <c r="B94" s="8">
        <f t="shared" si="5"/>
        <v>92</v>
      </c>
      <c r="C94" s="34">
        <f>SUM(D$3:D94)/D$1</f>
        <v>0.28862199336500594</v>
      </c>
      <c r="D94" s="10">
        <f t="shared" si="8"/>
        <v>1029.0879022520908</v>
      </c>
      <c r="E94" s="53">
        <f>((((1-F$1)*D$1)-SUM(D$3:D93)+((F$1)*D$1))*(I94/12))</f>
        <v>3179.9270660954849</v>
      </c>
      <c r="F94" s="10">
        <f t="shared" si="9"/>
        <v>4209.0149683475756</v>
      </c>
      <c r="G94" s="10">
        <f t="shared" si="7"/>
        <v>1963.5</v>
      </c>
      <c r="H94" s="49"/>
      <c r="I94" s="19">
        <v>6.3E-2</v>
      </c>
    </row>
    <row r="95" spans="1:9" x14ac:dyDescent="0.25">
      <c r="A95" s="4">
        <f t="shared" si="6"/>
        <v>8</v>
      </c>
      <c r="B95" s="8">
        <f t="shared" si="5"/>
        <v>93</v>
      </c>
      <c r="C95" s="34">
        <f>SUM(D$3:D95)/D$1</f>
        <v>0.28983904114587528</v>
      </c>
      <c r="D95" s="10">
        <f t="shared" si="8"/>
        <v>1034.4906137389144</v>
      </c>
      <c r="E95" s="53">
        <f>((((1-F$1)*D$1)-SUM(D$3:D94)+((F$1)*D$1))*(I95/12))</f>
        <v>3174.5243546086613</v>
      </c>
      <c r="F95" s="10">
        <f t="shared" si="9"/>
        <v>4209.0149683475756</v>
      </c>
      <c r="G95" s="10">
        <f t="shared" si="7"/>
        <v>1963.5</v>
      </c>
      <c r="H95" s="49"/>
      <c r="I95" s="19">
        <v>6.3E-2</v>
      </c>
    </row>
    <row r="96" spans="1:9" x14ac:dyDescent="0.25">
      <c r="A96" s="4">
        <f t="shared" si="6"/>
        <v>8</v>
      </c>
      <c r="B96" s="8">
        <f t="shared" si="5"/>
        <v>94</v>
      </c>
      <c r="C96" s="34">
        <f>SUM(D$3:D96)/D$1</f>
        <v>0.29106247842759414</v>
      </c>
      <c r="D96" s="10">
        <f t="shared" si="8"/>
        <v>1039.921689461044</v>
      </c>
      <c r="E96" s="53">
        <f>((((1-F$1)*D$1)-SUM(D$3:D95)+((F$1)*D$1))*(I96/12))</f>
        <v>3169.0932788865316</v>
      </c>
      <c r="F96" s="10">
        <f t="shared" si="9"/>
        <v>4209.0149683475756</v>
      </c>
      <c r="G96" s="10">
        <f t="shared" si="7"/>
        <v>1963.5</v>
      </c>
      <c r="H96" s="49"/>
      <c r="I96" s="19">
        <v>6.3E-2</v>
      </c>
    </row>
    <row r="97" spans="1:9" x14ac:dyDescent="0.25">
      <c r="A97" s="4">
        <f t="shared" si="6"/>
        <v>8</v>
      </c>
      <c r="B97" s="8">
        <f t="shared" ref="B97:B160" si="10">B96+1</f>
        <v>95</v>
      </c>
      <c r="C97" s="34">
        <f>SUM(D$3:D97)/D$1</f>
        <v>0.29229233875504207</v>
      </c>
      <c r="D97" s="10">
        <f t="shared" si="8"/>
        <v>1045.3812783307144</v>
      </c>
      <c r="E97" s="53">
        <f>((((1-F$1)*D$1)-SUM(D$3:D96)+((F$1)*D$1))*(I97/12))</f>
        <v>3163.6336900168612</v>
      </c>
      <c r="F97" s="10">
        <f t="shared" si="9"/>
        <v>4209.0149683475756</v>
      </c>
      <c r="G97" s="10">
        <f t="shared" si="7"/>
        <v>1963.5</v>
      </c>
      <c r="H97" s="49"/>
      <c r="I97" s="19">
        <v>6.3E-2</v>
      </c>
    </row>
    <row r="98" spans="1:9" x14ac:dyDescent="0.25">
      <c r="A98" s="4">
        <f t="shared" si="6"/>
        <v>8</v>
      </c>
      <c r="B98" s="8">
        <f t="shared" si="10"/>
        <v>96</v>
      </c>
      <c r="C98" s="34">
        <f>SUM(D$3:D98)/D$1</f>
        <v>0.29352865584920906</v>
      </c>
      <c r="D98" s="10">
        <f t="shared" si="8"/>
        <v>1050.8695300419504</v>
      </c>
      <c r="E98" s="53">
        <f>((((1-F$1)*D$1)-SUM(D$3:D97)+((F$1)*D$1))*(I98/12))</f>
        <v>3158.1454383056252</v>
      </c>
      <c r="F98" s="10">
        <f t="shared" si="9"/>
        <v>4209.0149683475756</v>
      </c>
      <c r="G98" s="10">
        <f t="shared" si="7"/>
        <v>1963.5</v>
      </c>
      <c r="H98" s="49"/>
      <c r="I98" s="19">
        <v>6.3E-2</v>
      </c>
    </row>
    <row r="99" spans="1:9" x14ac:dyDescent="0.25">
      <c r="A99" s="4">
        <f t="shared" si="6"/>
        <v>9</v>
      </c>
      <c r="B99" s="8">
        <f t="shared" si="10"/>
        <v>97</v>
      </c>
      <c r="C99" s="34">
        <f>SUM(D$3:D99)/D$1</f>
        <v>0.29477146360812045</v>
      </c>
      <c r="D99" s="10">
        <f t="shared" si="8"/>
        <v>1056.3865950746708</v>
      </c>
      <c r="E99" s="53">
        <f>((((1-F$1)*D$1)-SUM(D$3:D98)+((F$1)*D$1))*(I99/12))</f>
        <v>3152.6283732729048</v>
      </c>
      <c r="F99" s="10">
        <f t="shared" si="9"/>
        <v>4209.0149683475756</v>
      </c>
      <c r="G99" s="10">
        <f t="shared" si="7"/>
        <v>1963.5</v>
      </c>
      <c r="H99" s="49"/>
      <c r="I99" s="19">
        <v>6.3E-2</v>
      </c>
    </row>
    <row r="100" spans="1:9" x14ac:dyDescent="0.25">
      <c r="A100" s="4">
        <f t="shared" si="6"/>
        <v>9</v>
      </c>
      <c r="B100" s="8">
        <f t="shared" si="10"/>
        <v>98</v>
      </c>
      <c r="C100" s="34">
        <f>SUM(D$3:D100)/D$1</f>
        <v>0.2960207961077661</v>
      </c>
      <c r="D100" s="10">
        <f t="shared" si="8"/>
        <v>1061.932624698813</v>
      </c>
      <c r="E100" s="53">
        <f>((((1-F$1)*D$1)-SUM(D$3:D99)+((F$1)*D$1))*(I100/12))</f>
        <v>3147.0823436487626</v>
      </c>
      <c r="F100" s="10">
        <f t="shared" si="9"/>
        <v>4209.0149683475756</v>
      </c>
      <c r="G100" s="10">
        <f t="shared" si="7"/>
        <v>1963.5</v>
      </c>
      <c r="H100" s="49"/>
      <c r="I100" s="19">
        <v>6.3E-2</v>
      </c>
    </row>
    <row r="101" spans="1:9" x14ac:dyDescent="0.25">
      <c r="A101" s="4">
        <f t="shared" si="6"/>
        <v>9</v>
      </c>
      <c r="B101" s="8">
        <f t="shared" si="10"/>
        <v>99</v>
      </c>
      <c r="C101" s="34">
        <f>SUM(D$3:D101)/D$1</f>
        <v>0.29727668760303488</v>
      </c>
      <c r="D101" s="10">
        <f t="shared" si="8"/>
        <v>1067.5077709784814</v>
      </c>
      <c r="E101" s="53">
        <f>((((1-F$1)*D$1)-SUM(D$3:D100)+((F$1)*D$1))*(I101/12))</f>
        <v>3141.5071973690942</v>
      </c>
      <c r="F101" s="10">
        <f t="shared" si="9"/>
        <v>4209.0149683475756</v>
      </c>
      <c r="G101" s="10">
        <f t="shared" si="7"/>
        <v>1963.5</v>
      </c>
      <c r="H101" s="49"/>
      <c r="I101" s="19">
        <v>6.3E-2</v>
      </c>
    </row>
    <row r="102" spans="1:9" x14ac:dyDescent="0.25">
      <c r="A102" s="4">
        <f t="shared" si="6"/>
        <v>9</v>
      </c>
      <c r="B102" s="8">
        <f t="shared" si="10"/>
        <v>100</v>
      </c>
      <c r="C102" s="34">
        <f>SUM(D$3:D102)/D$1</f>
        <v>0.29853917252865386</v>
      </c>
      <c r="D102" s="10">
        <f t="shared" si="8"/>
        <v>1073.1121867761185</v>
      </c>
      <c r="E102" s="53">
        <f>((((1-F$1)*D$1)-SUM(D$3:D101)+((F$1)*D$1))*(I102/12))</f>
        <v>3135.9027815714571</v>
      </c>
      <c r="F102" s="10">
        <f t="shared" si="9"/>
        <v>4209.0149683475756</v>
      </c>
      <c r="G102" s="10">
        <f t="shared" si="7"/>
        <v>1963.5</v>
      </c>
      <c r="H102" s="49"/>
      <c r="I102" s="19">
        <v>6.3E-2</v>
      </c>
    </row>
    <row r="103" spans="1:9" x14ac:dyDescent="0.25">
      <c r="A103" s="4">
        <f t="shared" si="6"/>
        <v>9</v>
      </c>
      <c r="B103" s="8">
        <f t="shared" si="10"/>
        <v>101</v>
      </c>
      <c r="C103" s="34">
        <f>SUM(D$3:D103)/D$1</f>
        <v>0.29980828550013233</v>
      </c>
      <c r="D103" s="10">
        <f t="shared" si="8"/>
        <v>1078.7460257566931</v>
      </c>
      <c r="E103" s="53">
        <f>((((1-F$1)*D$1)-SUM(D$3:D102)+((F$1)*D$1))*(I103/12))</f>
        <v>3130.2689425908825</v>
      </c>
      <c r="F103" s="10">
        <f t="shared" si="9"/>
        <v>4209.0149683475756</v>
      </c>
      <c r="G103" s="10">
        <f t="shared" si="7"/>
        <v>1963.5</v>
      </c>
      <c r="H103" s="49"/>
      <c r="I103" s="19">
        <v>6.3E-2</v>
      </c>
    </row>
    <row r="104" spans="1:9" x14ac:dyDescent="0.25">
      <c r="A104" s="4">
        <f t="shared" si="6"/>
        <v>9</v>
      </c>
      <c r="B104" s="8">
        <f t="shared" si="10"/>
        <v>102</v>
      </c>
      <c r="C104" s="34">
        <f>SUM(D$3:D104)/D$1</f>
        <v>0.30108406131471105</v>
      </c>
      <c r="D104" s="10">
        <f t="shared" si="8"/>
        <v>1084.4094423919159</v>
      </c>
      <c r="E104" s="53">
        <f>((((1-F$1)*D$1)-SUM(D$3:D103)+((F$1)*D$1))*(I104/12))</f>
        <v>3124.6055259556597</v>
      </c>
      <c r="F104" s="10">
        <f t="shared" si="9"/>
        <v>4209.0149683475756</v>
      </c>
      <c r="G104" s="10">
        <f t="shared" si="7"/>
        <v>1963.5</v>
      </c>
      <c r="H104" s="49"/>
      <c r="I104" s="19">
        <v>6.3E-2</v>
      </c>
    </row>
    <row r="105" spans="1:9" x14ac:dyDescent="0.25">
      <c r="A105" s="4">
        <f t="shared" si="6"/>
        <v>9</v>
      </c>
      <c r="B105" s="8">
        <f t="shared" si="10"/>
        <v>103</v>
      </c>
      <c r="C105" s="34">
        <f>SUM(D$3:D105)/D$1</f>
        <v>0.30236653495231636</v>
      </c>
      <c r="D105" s="10">
        <f t="shared" si="8"/>
        <v>1090.1025919644735</v>
      </c>
      <c r="E105" s="53">
        <f>((((1-F$1)*D$1)-SUM(D$3:D104)+((F$1)*D$1))*(I105/12))</f>
        <v>3118.9123763831021</v>
      </c>
      <c r="F105" s="10">
        <f t="shared" si="9"/>
        <v>4209.0149683475756</v>
      </c>
      <c r="G105" s="10">
        <f t="shared" si="7"/>
        <v>1963.5</v>
      </c>
      <c r="H105" s="49"/>
      <c r="I105" s="19">
        <v>6.3E-2</v>
      </c>
    </row>
    <row r="106" spans="1:9" x14ac:dyDescent="0.25">
      <c r="A106" s="4">
        <f t="shared" si="6"/>
        <v>9</v>
      </c>
      <c r="B106" s="8">
        <f t="shared" si="10"/>
        <v>104</v>
      </c>
      <c r="C106" s="34">
        <f>SUM(D$3:D106)/D$1</f>
        <v>0.30365574157651903</v>
      </c>
      <c r="D106" s="10">
        <f t="shared" si="8"/>
        <v>1095.8256305722871</v>
      </c>
      <c r="E106" s="53">
        <f>((((1-F$1)*D$1)-SUM(D$3:D105)+((F$1)*D$1))*(I106/12))</f>
        <v>3113.1893377752885</v>
      </c>
      <c r="F106" s="10">
        <f t="shared" si="9"/>
        <v>4209.0149683475756</v>
      </c>
      <c r="G106" s="10">
        <f t="shared" si="7"/>
        <v>1963.5</v>
      </c>
      <c r="H106" s="49"/>
      <c r="I106" s="19">
        <v>6.3E-2</v>
      </c>
    </row>
    <row r="107" spans="1:9" x14ac:dyDescent="0.25">
      <c r="A107" s="4">
        <f t="shared" si="6"/>
        <v>9</v>
      </c>
      <c r="B107" s="8">
        <f t="shared" si="10"/>
        <v>105</v>
      </c>
      <c r="C107" s="34">
        <f>SUM(D$3:D107)/D$1</f>
        <v>0.30495171653549874</v>
      </c>
      <c r="D107" s="10">
        <f t="shared" si="8"/>
        <v>1101.5787151327913</v>
      </c>
      <c r="E107" s="53">
        <f>((((1-F$1)*D$1)-SUM(D$3:D106)+((F$1)*D$1))*(I107/12))</f>
        <v>3107.4362532147843</v>
      </c>
      <c r="F107" s="10">
        <f t="shared" si="9"/>
        <v>4209.0149683475756</v>
      </c>
      <c r="G107" s="10">
        <f t="shared" si="7"/>
        <v>1963.5</v>
      </c>
      <c r="H107" s="49"/>
      <c r="I107" s="19">
        <v>6.3E-2</v>
      </c>
    </row>
    <row r="108" spans="1:9" x14ac:dyDescent="0.25">
      <c r="A108" s="4">
        <f t="shared" si="6"/>
        <v>9</v>
      </c>
      <c r="B108" s="8">
        <f t="shared" si="10"/>
        <v>106</v>
      </c>
      <c r="C108" s="34">
        <f>SUM(D$3:D108)/D$1</f>
        <v>0.30625449536301314</v>
      </c>
      <c r="D108" s="10">
        <f t="shared" si="8"/>
        <v>1107.3620033872385</v>
      </c>
      <c r="E108" s="53">
        <f>((((1-F$1)*D$1)-SUM(D$3:D107)+((F$1)*D$1))*(I108/12))</f>
        <v>3101.6529649603372</v>
      </c>
      <c r="F108" s="10">
        <f t="shared" si="9"/>
        <v>4209.0149683475756</v>
      </c>
      <c r="G108" s="10">
        <f t="shared" si="7"/>
        <v>1963.5</v>
      </c>
      <c r="H108" s="49"/>
      <c r="I108" s="19">
        <v>6.3E-2</v>
      </c>
    </row>
    <row r="109" spans="1:9" x14ac:dyDescent="0.25">
      <c r="A109" s="4">
        <f t="shared" si="6"/>
        <v>9</v>
      </c>
      <c r="B109" s="8">
        <f t="shared" si="10"/>
        <v>107</v>
      </c>
      <c r="C109" s="34">
        <f>SUM(D$3:D109)/D$1</f>
        <v>0.30756411377937198</v>
      </c>
      <c r="D109" s="10">
        <f t="shared" si="8"/>
        <v>1113.1756539050216</v>
      </c>
      <c r="E109" s="53">
        <f>((((1-F$1)*D$1)-SUM(D$3:D108)+((F$1)*D$1))*(I109/12))</f>
        <v>3095.839314442554</v>
      </c>
      <c r="F109" s="10">
        <f t="shared" si="9"/>
        <v>4209.0149683475756</v>
      </c>
      <c r="G109" s="10">
        <f t="shared" si="7"/>
        <v>1963.5</v>
      </c>
      <c r="H109" s="49"/>
      <c r="I109" s="19">
        <v>6.3E-2</v>
      </c>
    </row>
    <row r="110" spans="1:9" x14ac:dyDescent="0.25">
      <c r="A110" s="4">
        <f t="shared" si="6"/>
        <v>9</v>
      </c>
      <c r="B110" s="8">
        <f t="shared" si="10"/>
        <v>108</v>
      </c>
      <c r="C110" s="34">
        <f>SUM(D$3:D110)/D$1</f>
        <v>0.30888060769241671</v>
      </c>
      <c r="D110" s="10">
        <f t="shared" si="8"/>
        <v>1119.0198260880234</v>
      </c>
      <c r="E110" s="53">
        <f>((((1-F$1)*D$1)-SUM(D$3:D109)+((F$1)*D$1))*(I110/12))</f>
        <v>3089.9951422595523</v>
      </c>
      <c r="F110" s="10">
        <f t="shared" si="9"/>
        <v>4209.0149683475756</v>
      </c>
      <c r="G110" s="10">
        <f t="shared" si="7"/>
        <v>1963.5</v>
      </c>
      <c r="H110" s="49"/>
      <c r="I110" s="19">
        <v>6.3E-2</v>
      </c>
    </row>
    <row r="111" spans="1:9" x14ac:dyDescent="0.25">
      <c r="A111" s="4">
        <f t="shared" si="6"/>
        <v>10</v>
      </c>
      <c r="B111" s="8">
        <f t="shared" si="10"/>
        <v>109</v>
      </c>
      <c r="C111" s="34">
        <f>SUM(D$3:D111)/D$1</f>
        <v>0.31020401319850499</v>
      </c>
      <c r="D111" s="10">
        <f t="shared" si="8"/>
        <v>1124.8946801749853</v>
      </c>
      <c r="E111" s="53">
        <f>((((1-F$1)*D$1)-SUM(D$3:D110)+((F$1)*D$1))*(I111/12))</f>
        <v>3084.1202881725903</v>
      </c>
      <c r="F111" s="10">
        <f t="shared" si="9"/>
        <v>4209.0149683475756</v>
      </c>
      <c r="G111" s="10">
        <f t="shared" si="7"/>
        <v>1963.5</v>
      </c>
      <c r="H111" s="49"/>
      <c r="I111" s="19">
        <v>6.3E-2</v>
      </c>
    </row>
    <row r="112" spans="1:9" x14ac:dyDescent="0.25">
      <c r="A112" s="4">
        <f t="shared" si="6"/>
        <v>10</v>
      </c>
      <c r="B112" s="8">
        <f t="shared" si="10"/>
        <v>110</v>
      </c>
      <c r="C112" s="34">
        <f>SUM(D$3:D112)/D$1</f>
        <v>0.31153436658350009</v>
      </c>
      <c r="D112" s="10">
        <f t="shared" si="8"/>
        <v>1130.8003772459037</v>
      </c>
      <c r="E112" s="53">
        <f>((((1-F$1)*D$1)-SUM(D$3:D111)+((F$1)*D$1))*(I112/12))</f>
        <v>3078.2145911016719</v>
      </c>
      <c r="F112" s="10">
        <f t="shared" si="9"/>
        <v>4209.0149683475756</v>
      </c>
      <c r="G112" s="10">
        <f t="shared" si="7"/>
        <v>1963.5</v>
      </c>
      <c r="H112" s="49"/>
      <c r="I112" s="19">
        <v>6.3E-2</v>
      </c>
    </row>
    <row r="113" spans="1:9" x14ac:dyDescent="0.25">
      <c r="A113" s="4">
        <f t="shared" si="6"/>
        <v>10</v>
      </c>
      <c r="B113" s="8">
        <f t="shared" si="10"/>
        <v>111</v>
      </c>
      <c r="C113" s="34">
        <f>SUM(D$3:D113)/D$1</f>
        <v>0.31287170432376654</v>
      </c>
      <c r="D113" s="10">
        <f t="shared" si="8"/>
        <v>1136.7370792264446</v>
      </c>
      <c r="E113" s="53">
        <f>((((1-F$1)*D$1)-SUM(D$3:D112)+((F$1)*D$1))*(I113/12))</f>
        <v>3072.277889121131</v>
      </c>
      <c r="F113" s="10">
        <f t="shared" si="9"/>
        <v>4209.0149683475756</v>
      </c>
      <c r="G113" s="10">
        <f t="shared" si="7"/>
        <v>1963.5</v>
      </c>
      <c r="H113" s="49"/>
      <c r="I113" s="19">
        <v>6.3E-2</v>
      </c>
    </row>
    <row r="114" spans="1:9" x14ac:dyDescent="0.25">
      <c r="A114" s="4">
        <f t="shared" si="6"/>
        <v>10</v>
      </c>
      <c r="B114" s="8">
        <f t="shared" si="10"/>
        <v>112</v>
      </c>
      <c r="C114" s="34">
        <f>SUM(D$3:D114)/D$1</f>
        <v>0.31421606308716937</v>
      </c>
      <c r="D114" s="10">
        <f t="shared" si="8"/>
        <v>1142.7049488923835</v>
      </c>
      <c r="E114" s="53">
        <f>((((1-F$1)*D$1)-SUM(D$3:D113)+((F$1)*D$1))*(I114/12))</f>
        <v>3066.3100194551921</v>
      </c>
      <c r="F114" s="10">
        <f t="shared" si="9"/>
        <v>4209.0149683475756</v>
      </c>
      <c r="G114" s="10">
        <f t="shared" si="7"/>
        <v>1963.5</v>
      </c>
      <c r="H114" s="49"/>
      <c r="I114" s="19">
        <v>6.3E-2</v>
      </c>
    </row>
    <row r="115" spans="1:9" x14ac:dyDescent="0.25">
      <c r="A115" s="4">
        <f t="shared" si="6"/>
        <v>10</v>
      </c>
      <c r="B115" s="8">
        <f t="shared" si="10"/>
        <v>113</v>
      </c>
      <c r="C115" s="34">
        <f>SUM(D$3:D115)/D$1</f>
        <v>0.31556747973408</v>
      </c>
      <c r="D115" s="10">
        <f t="shared" si="8"/>
        <v>1148.7041498740687</v>
      </c>
      <c r="E115" s="53">
        <f>((((1-F$1)*D$1)-SUM(D$3:D114)+((F$1)*D$1))*(I115/12))</f>
        <v>3060.310818473507</v>
      </c>
      <c r="F115" s="10">
        <f t="shared" si="9"/>
        <v>4209.0149683475756</v>
      </c>
      <c r="G115" s="10">
        <f t="shared" si="7"/>
        <v>1963.5</v>
      </c>
      <c r="H115" s="49"/>
      <c r="I115" s="19">
        <v>6.3E-2</v>
      </c>
    </row>
    <row r="116" spans="1:9" x14ac:dyDescent="0.25">
      <c r="A116" s="4">
        <f t="shared" si="6"/>
        <v>10</v>
      </c>
      <c r="B116" s="8">
        <f t="shared" si="10"/>
        <v>114</v>
      </c>
      <c r="C116" s="34">
        <f>SUM(D$3:D116)/D$1</f>
        <v>0.316925991318387</v>
      </c>
      <c r="D116" s="10">
        <f t="shared" si="8"/>
        <v>1154.7348466609074</v>
      </c>
      <c r="E116" s="53">
        <f>((((1-F$1)*D$1)-SUM(D$3:D115)+((F$1)*D$1))*(I116/12))</f>
        <v>3054.2801216866683</v>
      </c>
      <c r="F116" s="10">
        <f t="shared" si="9"/>
        <v>4209.0149683475756</v>
      </c>
      <c r="G116" s="10">
        <f t="shared" si="7"/>
        <v>1963.5</v>
      </c>
      <c r="H116" s="49"/>
      <c r="I116" s="19">
        <v>6.3E-2</v>
      </c>
    </row>
    <row r="117" spans="1:9" x14ac:dyDescent="0.25">
      <c r="A117" s="4">
        <f t="shared" si="6"/>
        <v>10</v>
      </c>
      <c r="B117" s="8">
        <f t="shared" si="10"/>
        <v>115</v>
      </c>
      <c r="C117" s="34">
        <f>SUM(D$3:D117)/D$1</f>
        <v>0.31829163508851155</v>
      </c>
      <c r="D117" s="10">
        <f t="shared" si="8"/>
        <v>1160.7972046058771</v>
      </c>
      <c r="E117" s="53">
        <f>((((1-F$1)*D$1)-SUM(D$3:D116)+((F$1)*D$1))*(I117/12))</f>
        <v>3048.2177637416985</v>
      </c>
      <c r="F117" s="10">
        <f t="shared" si="9"/>
        <v>4209.0149683475756</v>
      </c>
      <c r="G117" s="10">
        <f t="shared" si="7"/>
        <v>1963.5</v>
      </c>
      <c r="H117" s="49"/>
      <c r="I117" s="19">
        <v>6.3E-2</v>
      </c>
    </row>
    <row r="118" spans="1:9" x14ac:dyDescent="0.25">
      <c r="A118" s="4">
        <f t="shared" si="6"/>
        <v>10</v>
      </c>
      <c r="B118" s="8">
        <f t="shared" si="10"/>
        <v>116</v>
      </c>
      <c r="C118" s="34">
        <f>SUM(D$3:D118)/D$1</f>
        <v>0.31966444848842923</v>
      </c>
      <c r="D118" s="10">
        <f t="shared" si="8"/>
        <v>1166.8913899300587</v>
      </c>
      <c r="E118" s="53">
        <f>((((1-F$1)*D$1)-SUM(D$3:D117)+((F$1)*D$1))*(I118/12))</f>
        <v>3042.1235784175169</v>
      </c>
      <c r="F118" s="10">
        <f t="shared" si="9"/>
        <v>4209.0149683475756</v>
      </c>
      <c r="G118" s="10">
        <f t="shared" si="7"/>
        <v>1963.5</v>
      </c>
      <c r="H118" s="49"/>
      <c r="I118" s="19">
        <v>6.3E-2</v>
      </c>
    </row>
    <row r="119" spans="1:9" x14ac:dyDescent="0.25">
      <c r="A119" s="4">
        <f t="shared" si="6"/>
        <v>10</v>
      </c>
      <c r="B119" s="8">
        <f t="shared" si="10"/>
        <v>117</v>
      </c>
      <c r="C119" s="34">
        <f>SUM(D$3:D119)/D$1</f>
        <v>0.32104446915869655</v>
      </c>
      <c r="D119" s="10">
        <f t="shared" si="8"/>
        <v>1173.0175697271907</v>
      </c>
      <c r="E119" s="53">
        <f>((((1-F$1)*D$1)-SUM(D$3:D118)+((F$1)*D$1))*(I119/12))</f>
        <v>3035.997398620385</v>
      </c>
      <c r="F119" s="10">
        <f t="shared" si="9"/>
        <v>4209.0149683475756</v>
      </c>
      <c r="G119" s="10">
        <f t="shared" si="7"/>
        <v>1963.5</v>
      </c>
      <c r="H119" s="49"/>
      <c r="I119" s="19">
        <v>6.3E-2</v>
      </c>
    </row>
    <row r="120" spans="1:9" x14ac:dyDescent="0.25">
      <c r="A120" s="4">
        <f t="shared" si="6"/>
        <v>10</v>
      </c>
      <c r="B120" s="8">
        <f t="shared" si="10"/>
        <v>118</v>
      </c>
      <c r="C120" s="34">
        <f>SUM(D$3:D120)/D$1</f>
        <v>0.32243173493748278</v>
      </c>
      <c r="D120" s="10">
        <f t="shared" si="8"/>
        <v>1179.1759119682588</v>
      </c>
      <c r="E120" s="53">
        <f>((((1-F$1)*D$1)-SUM(D$3:D119)+((F$1)*D$1))*(I120/12))</f>
        <v>3029.8390563793168</v>
      </c>
      <c r="F120" s="10">
        <f t="shared" si="9"/>
        <v>4209.0149683475756</v>
      </c>
      <c r="G120" s="10">
        <f t="shared" si="7"/>
        <v>1963.5</v>
      </c>
      <c r="H120" s="49"/>
      <c r="I120" s="19">
        <v>6.3E-2</v>
      </c>
    </row>
    <row r="121" spans="1:9" x14ac:dyDescent="0.25">
      <c r="A121" s="4">
        <f t="shared" si="6"/>
        <v>10</v>
      </c>
      <c r="B121" s="8">
        <f t="shared" si="10"/>
        <v>119</v>
      </c>
      <c r="C121" s="34">
        <f>SUM(D$3:D121)/D$1</f>
        <v>0.32382628386160756</v>
      </c>
      <c r="D121" s="10">
        <f t="shared" si="8"/>
        <v>1185.3665855060926</v>
      </c>
      <c r="E121" s="53">
        <f>((((1-F$1)*D$1)-SUM(D$3:D120)+((F$1)*D$1))*(I121/12))</f>
        <v>3023.648382841483</v>
      </c>
      <c r="F121" s="10">
        <f t="shared" si="9"/>
        <v>4209.0149683475756</v>
      </c>
      <c r="G121" s="10">
        <f t="shared" si="7"/>
        <v>1963.5</v>
      </c>
      <c r="H121" s="49"/>
      <c r="I121" s="19">
        <v>6.3E-2</v>
      </c>
    </row>
    <row r="122" spans="1:9" x14ac:dyDescent="0.25">
      <c r="A122" s="4">
        <f t="shared" si="6"/>
        <v>10</v>
      </c>
      <c r="B122" s="8">
        <f t="shared" si="10"/>
        <v>120</v>
      </c>
      <c r="C122" s="34">
        <f>SUM(D$3:D122)/D$1</f>
        <v>0.32522815416758399</v>
      </c>
      <c r="D122" s="10">
        <f t="shared" si="8"/>
        <v>1191.589760079999</v>
      </c>
      <c r="E122" s="53">
        <f>((((1-F$1)*D$1)-SUM(D$3:D121)+((F$1)*D$1))*(I122/12))</f>
        <v>3017.4252082675766</v>
      </c>
      <c r="F122" s="10">
        <f t="shared" si="9"/>
        <v>4209.0149683475756</v>
      </c>
      <c r="G122" s="10">
        <f t="shared" si="7"/>
        <v>1963.5</v>
      </c>
      <c r="H122" s="49"/>
      <c r="I122" s="19">
        <v>6.3E-2</v>
      </c>
    </row>
    <row r="123" spans="1:9" x14ac:dyDescent="0.25">
      <c r="A123" s="4">
        <f t="shared" si="6"/>
        <v>11</v>
      </c>
      <c r="B123" s="8">
        <f t="shared" si="10"/>
        <v>121</v>
      </c>
      <c r="C123" s="34">
        <f>SUM(D$3:D123)/D$1</f>
        <v>0.32663738429266687</v>
      </c>
      <c r="D123" s="10">
        <f t="shared" si="8"/>
        <v>1197.8456063204189</v>
      </c>
      <c r="E123" s="53">
        <f>((((1-F$1)*D$1)-SUM(D$3:D122)+((F$1)*D$1))*(I123/12))</f>
        <v>3011.1693620271567</v>
      </c>
      <c r="F123" s="10">
        <f t="shared" si="9"/>
        <v>4209.0149683475756</v>
      </c>
      <c r="G123" s="10">
        <f t="shared" si="7"/>
        <v>1963.5</v>
      </c>
      <c r="H123" s="49"/>
      <c r="I123" s="19">
        <v>6.3E-2</v>
      </c>
    </row>
    <row r="124" spans="1:9" x14ac:dyDescent="0.25">
      <c r="A124" s="4">
        <f t="shared" si="6"/>
        <v>11</v>
      </c>
      <c r="B124" s="8">
        <f t="shared" si="10"/>
        <v>122</v>
      </c>
      <c r="C124" s="34">
        <f>SUM(D$3:D124)/D$1</f>
        <v>0.32805401287590641</v>
      </c>
      <c r="D124" s="10">
        <f t="shared" si="8"/>
        <v>1204.1342957536012</v>
      </c>
      <c r="E124" s="53">
        <f>((((1-F$1)*D$1)-SUM(D$3:D123)+((F$1)*D$1))*(I124/12))</f>
        <v>3004.8806725939744</v>
      </c>
      <c r="F124" s="10">
        <f t="shared" si="9"/>
        <v>4209.0149683475756</v>
      </c>
      <c r="G124" s="10">
        <f t="shared" si="7"/>
        <v>1963.5</v>
      </c>
      <c r="H124" s="49"/>
      <c r="I124" s="19">
        <v>6.3E-2</v>
      </c>
    </row>
    <row r="125" spans="1:9" x14ac:dyDescent="0.25">
      <c r="A125" s="4">
        <f t="shared" si="6"/>
        <v>11</v>
      </c>
      <c r="B125" s="8">
        <f t="shared" si="10"/>
        <v>123</v>
      </c>
      <c r="C125" s="34">
        <f>SUM(D$3:D125)/D$1</f>
        <v>0.32947807875920793</v>
      </c>
      <c r="D125" s="10">
        <f t="shared" si="8"/>
        <v>1210.4560008063081</v>
      </c>
      <c r="E125" s="53">
        <f>((((1-F$1)*D$1)-SUM(D$3:D124)+((F$1)*D$1))*(I125/12))</f>
        <v>2998.5589675412675</v>
      </c>
      <c r="F125" s="10">
        <f t="shared" si="9"/>
        <v>4209.0149683475756</v>
      </c>
      <c r="G125" s="10">
        <f t="shared" si="7"/>
        <v>1963.5</v>
      </c>
      <c r="H125" s="49"/>
      <c r="I125" s="19">
        <v>6.3E-2</v>
      </c>
    </row>
    <row r="126" spans="1:9" x14ac:dyDescent="0.25">
      <c r="A126" s="4">
        <f t="shared" si="6"/>
        <v>11</v>
      </c>
      <c r="B126" s="8">
        <f t="shared" si="10"/>
        <v>124</v>
      </c>
      <c r="C126" s="34">
        <f>SUM(D$3:D126)/D$1</f>
        <v>0.33090962098839677</v>
      </c>
      <c r="D126" s="10">
        <f t="shared" si="8"/>
        <v>1216.810894810541</v>
      </c>
      <c r="E126" s="53">
        <f>((((1-F$1)*D$1)-SUM(D$3:D125)+((F$1)*D$1))*(I126/12))</f>
        <v>2992.2040735370347</v>
      </c>
      <c r="F126" s="10">
        <f t="shared" si="9"/>
        <v>4209.0149683475756</v>
      </c>
      <c r="G126" s="10">
        <f t="shared" si="7"/>
        <v>1963.5</v>
      </c>
      <c r="H126" s="49"/>
      <c r="I126" s="19">
        <v>6.3E-2</v>
      </c>
    </row>
    <row r="127" spans="1:9" x14ac:dyDescent="0.25">
      <c r="A127" s="4">
        <f t="shared" si="6"/>
        <v>11</v>
      </c>
      <c r="B127" s="8">
        <f t="shared" si="10"/>
        <v>125</v>
      </c>
      <c r="C127" s="34">
        <f>SUM(D$3:D127)/D$1</f>
        <v>0.33234867881428887</v>
      </c>
      <c r="D127" s="10">
        <f t="shared" si="8"/>
        <v>1223.1991520082961</v>
      </c>
      <c r="E127" s="53">
        <f>((((1-F$1)*D$1)-SUM(D$3:D126)+((F$1)*D$1))*(I127/12))</f>
        <v>2985.8158163392795</v>
      </c>
      <c r="F127" s="10">
        <f t="shared" si="9"/>
        <v>4209.0149683475756</v>
      </c>
      <c r="G127" s="10">
        <f t="shared" si="7"/>
        <v>1963.5</v>
      </c>
      <c r="H127" s="49"/>
      <c r="I127" s="19">
        <v>6.3E-2</v>
      </c>
    </row>
    <row r="128" spans="1:9" x14ac:dyDescent="0.25">
      <c r="A128" s="4">
        <f t="shared" si="6"/>
        <v>11</v>
      </c>
      <c r="B128" s="8">
        <f t="shared" si="10"/>
        <v>126</v>
      </c>
      <c r="C128" s="34">
        <f>SUM(D$3:D128)/D$1</f>
        <v>0.33379529169376693</v>
      </c>
      <c r="D128" s="10">
        <f t="shared" si="8"/>
        <v>1229.6209475563396</v>
      </c>
      <c r="E128" s="53">
        <f>((((1-F$1)*D$1)-SUM(D$3:D127)+((F$1)*D$1))*(I128/12))</f>
        <v>2979.394020791236</v>
      </c>
      <c r="F128" s="10">
        <f t="shared" si="9"/>
        <v>4209.0149683475756</v>
      </c>
      <c r="G128" s="10">
        <f t="shared" si="7"/>
        <v>1963.5</v>
      </c>
      <c r="H128" s="49"/>
      <c r="I128" s="19">
        <v>6.3E-2</v>
      </c>
    </row>
    <row r="129" spans="1:9" x14ac:dyDescent="0.25">
      <c r="A129" s="4">
        <f t="shared" si="6"/>
        <v>11</v>
      </c>
      <c r="B129" s="8">
        <f t="shared" si="10"/>
        <v>127</v>
      </c>
      <c r="C129" s="34">
        <f>SUM(D$3:D129)/D$1</f>
        <v>0.33524949929086223</v>
      </c>
      <c r="D129" s="10">
        <f t="shared" si="8"/>
        <v>1236.0764575310104</v>
      </c>
      <c r="E129" s="53">
        <f>((((1-F$1)*D$1)-SUM(D$3:D128)+((F$1)*D$1))*(I129/12))</f>
        <v>2972.9385108165652</v>
      </c>
      <c r="F129" s="10">
        <f t="shared" si="9"/>
        <v>4209.0149683475756</v>
      </c>
      <c r="G129" s="10">
        <f t="shared" si="7"/>
        <v>1963.5</v>
      </c>
      <c r="H129" s="49"/>
      <c r="I129" s="19">
        <v>6.3E-2</v>
      </c>
    </row>
    <row r="130" spans="1:9" x14ac:dyDescent="0.25">
      <c r="A130" s="4">
        <f t="shared" si="6"/>
        <v>11</v>
      </c>
      <c r="B130" s="8">
        <f t="shared" si="10"/>
        <v>128</v>
      </c>
      <c r="C130" s="34">
        <f>SUM(D$3:D130)/D$1</f>
        <v>0.33671134147784226</v>
      </c>
      <c r="D130" s="10">
        <f t="shared" si="8"/>
        <v>1242.5658589330478</v>
      </c>
      <c r="E130" s="53">
        <f>((((1-F$1)*D$1)-SUM(D$3:D129)+((F$1)*D$1))*(I130/12))</f>
        <v>2966.4491094145278</v>
      </c>
      <c r="F130" s="10">
        <f t="shared" si="9"/>
        <v>4209.0149683475756</v>
      </c>
      <c r="G130" s="10">
        <f t="shared" si="7"/>
        <v>1963.5</v>
      </c>
      <c r="H130" s="49"/>
      <c r="I130" s="19">
        <v>6.3E-2</v>
      </c>
    </row>
    <row r="131" spans="1:9" x14ac:dyDescent="0.25">
      <c r="A131" s="4">
        <f t="shared" si="6"/>
        <v>11</v>
      </c>
      <c r="B131" s="8">
        <f t="shared" si="10"/>
        <v>129</v>
      </c>
      <c r="C131" s="34">
        <f>SUM(D$3:D131)/D$1</f>
        <v>0.33818085833630396</v>
      </c>
      <c r="D131" s="10">
        <f t="shared" si="8"/>
        <v>1249.0893296924469</v>
      </c>
      <c r="E131" s="53">
        <f>((((1-F$1)*D$1)-SUM(D$3:D130)+((F$1)*D$1))*(I131/12))</f>
        <v>2959.9256386551288</v>
      </c>
      <c r="F131" s="10">
        <f t="shared" si="9"/>
        <v>4209.0149683475756</v>
      </c>
      <c r="G131" s="10">
        <f t="shared" si="7"/>
        <v>1963.5</v>
      </c>
      <c r="H131" s="49"/>
      <c r="I131" s="19">
        <v>6.3E-2</v>
      </c>
    </row>
    <row r="132" spans="1:9" x14ac:dyDescent="0.25">
      <c r="A132" s="4">
        <f t="shared" ref="A132:A195" si="11">ROUNDUP(B132/12,0)</f>
        <v>11</v>
      </c>
      <c r="B132" s="8">
        <f t="shared" si="10"/>
        <v>130</v>
      </c>
      <c r="C132" s="34">
        <f>SUM(D$3:D132)/D$1</f>
        <v>0.33965809015827259</v>
      </c>
      <c r="D132" s="10">
        <f t="shared" si="8"/>
        <v>1255.6470486733315</v>
      </c>
      <c r="E132" s="53">
        <f>((((1-F$1)*D$1)-SUM(D$3:D131)+((F$1)*D$1))*(I132/12))</f>
        <v>2953.3679196742441</v>
      </c>
      <c r="F132" s="10">
        <f t="shared" si="9"/>
        <v>4209.0149683475756</v>
      </c>
      <c r="G132" s="10">
        <f t="shared" ref="G132:G195" si="12">(9800+11262+2500)/12</f>
        <v>1963.5</v>
      </c>
      <c r="H132" s="49"/>
      <c r="I132" s="19">
        <v>6.3E-2</v>
      </c>
    </row>
    <row r="133" spans="1:9" x14ac:dyDescent="0.25">
      <c r="A133" s="4">
        <f t="shared" si="11"/>
        <v>11</v>
      </c>
      <c r="B133" s="8">
        <f t="shared" si="10"/>
        <v>131</v>
      </c>
      <c r="C133" s="34">
        <f>SUM(D$3:D133)/D$1</f>
        <v>0.34114307744730654</v>
      </c>
      <c r="D133" s="10">
        <f t="shared" ref="D133:D196" si="13">F133-E133</f>
        <v>1262.2391956788665</v>
      </c>
      <c r="E133" s="53">
        <f>((((1-F$1)*D$1)-SUM(D$3:D132)+((F$1)*D$1))*(I133/12))</f>
        <v>2946.7757726687091</v>
      </c>
      <c r="F133" s="10">
        <f t="shared" ref="F133:F196" si="14">((1-F$1)*D$1)*(((I133/12)*((1+(I133/12))^(12*30)))/(((1+(I133/12))^(12*30))-1))</f>
        <v>4209.0149683475756</v>
      </c>
      <c r="G133" s="10">
        <f t="shared" si="12"/>
        <v>1963.5</v>
      </c>
      <c r="H133" s="49"/>
      <c r="I133" s="19">
        <v>6.3E-2</v>
      </c>
    </row>
    <row r="134" spans="1:9" x14ac:dyDescent="0.25">
      <c r="A134" s="4">
        <f t="shared" si="11"/>
        <v>11</v>
      </c>
      <c r="B134" s="8">
        <f t="shared" si="10"/>
        <v>132</v>
      </c>
      <c r="C134" s="34">
        <f>SUM(D$3:D134)/D$1</f>
        <v>0.34263586091960796</v>
      </c>
      <c r="D134" s="10">
        <f t="shared" si="13"/>
        <v>1268.8659514561805</v>
      </c>
      <c r="E134" s="53">
        <f>((((1-F$1)*D$1)-SUM(D$3:D133)+((F$1)*D$1))*(I134/12))</f>
        <v>2940.1490168913951</v>
      </c>
      <c r="F134" s="10">
        <f t="shared" si="14"/>
        <v>4209.0149683475756</v>
      </c>
      <c r="G134" s="10">
        <f t="shared" si="12"/>
        <v>1963.5</v>
      </c>
      <c r="H134" s="49"/>
      <c r="I134" s="19">
        <v>6.3E-2</v>
      </c>
    </row>
    <row r="135" spans="1:9" x14ac:dyDescent="0.25">
      <c r="A135" s="4">
        <f t="shared" si="11"/>
        <v>12</v>
      </c>
      <c r="B135" s="8">
        <f t="shared" si="10"/>
        <v>133</v>
      </c>
      <c r="C135" s="34">
        <f>SUM(D$3:D135)/D$1</f>
        <v>0.34413648150513892</v>
      </c>
      <c r="D135" s="10">
        <f t="shared" si="13"/>
        <v>1275.527497701326</v>
      </c>
      <c r="E135" s="53">
        <f>((((1-F$1)*D$1)-SUM(D$3:D134)+((F$1)*D$1))*(I135/12))</f>
        <v>2933.4874706462497</v>
      </c>
      <c r="F135" s="10">
        <f t="shared" si="14"/>
        <v>4209.0149683475756</v>
      </c>
      <c r="G135" s="10">
        <f t="shared" si="12"/>
        <v>1963.5</v>
      </c>
      <c r="H135" s="49"/>
      <c r="I135" s="19">
        <v>6.3E-2</v>
      </c>
    </row>
    <row r="136" spans="1:9" x14ac:dyDescent="0.25">
      <c r="A136" s="4">
        <f t="shared" si="11"/>
        <v>12</v>
      </c>
      <c r="B136" s="8">
        <f t="shared" si="10"/>
        <v>134</v>
      </c>
      <c r="C136" s="34">
        <f>SUM(D$3:D136)/D$1</f>
        <v>0.34564498034874397</v>
      </c>
      <c r="D136" s="10">
        <f t="shared" si="13"/>
        <v>1282.2240170642581</v>
      </c>
      <c r="E136" s="53">
        <f>((((1-F$1)*D$1)-SUM(D$3:D135)+((F$1)*D$1))*(I136/12))</f>
        <v>2926.7909512833176</v>
      </c>
      <c r="F136" s="10">
        <f t="shared" si="14"/>
        <v>4209.0149683475756</v>
      </c>
      <c r="G136" s="10">
        <f t="shared" si="12"/>
        <v>1963.5</v>
      </c>
      <c r="H136" s="49"/>
      <c r="I136" s="19">
        <v>6.3E-2</v>
      </c>
    </row>
    <row r="137" spans="1:9" x14ac:dyDescent="0.25">
      <c r="A137" s="4">
        <f t="shared" si="11"/>
        <v>12</v>
      </c>
      <c r="B137" s="8">
        <f t="shared" si="10"/>
        <v>135</v>
      </c>
      <c r="C137" s="34">
        <f>SUM(D$3:D137)/D$1</f>
        <v>0.34716139881127789</v>
      </c>
      <c r="D137" s="10">
        <f t="shared" si="13"/>
        <v>1288.955693153845</v>
      </c>
      <c r="E137" s="53">
        <f>((((1-F$1)*D$1)-SUM(D$3:D136)+((F$1)*D$1))*(I137/12))</f>
        <v>2920.0592751937306</v>
      </c>
      <c r="F137" s="10">
        <f t="shared" si="14"/>
        <v>4209.0149683475756</v>
      </c>
      <c r="G137" s="10">
        <f t="shared" si="12"/>
        <v>1963.5</v>
      </c>
      <c r="H137" s="49"/>
      <c r="I137" s="19">
        <v>6.3E-2</v>
      </c>
    </row>
    <row r="138" spans="1:9" x14ac:dyDescent="0.25">
      <c r="A138" s="4">
        <f t="shared" si="11"/>
        <v>12</v>
      </c>
      <c r="B138" s="8">
        <f t="shared" si="10"/>
        <v>136</v>
      </c>
      <c r="C138" s="34">
        <f>SUM(D$3:D138)/D$1</f>
        <v>0.34868577847074012</v>
      </c>
      <c r="D138" s="10">
        <f t="shared" si="13"/>
        <v>1295.7227105429029</v>
      </c>
      <c r="E138" s="53">
        <f>((((1-F$1)*D$1)-SUM(D$3:D137)+((F$1)*D$1))*(I138/12))</f>
        <v>2913.2922578046728</v>
      </c>
      <c r="F138" s="10">
        <f t="shared" si="14"/>
        <v>4209.0149683475756</v>
      </c>
      <c r="G138" s="10">
        <f t="shared" si="12"/>
        <v>1963.5</v>
      </c>
      <c r="H138" s="49"/>
      <c r="I138" s="19">
        <v>6.3E-2</v>
      </c>
    </row>
    <row r="139" spans="1:9" x14ac:dyDescent="0.25">
      <c r="A139" s="4">
        <f t="shared" si="11"/>
        <v>12</v>
      </c>
      <c r="B139" s="8">
        <f t="shared" si="10"/>
        <v>137</v>
      </c>
      <c r="C139" s="34">
        <f>SUM(D$3:D139)/D$1</f>
        <v>0.35021816112341453</v>
      </c>
      <c r="D139" s="10">
        <f t="shared" si="13"/>
        <v>1302.525254773253</v>
      </c>
      <c r="E139" s="53">
        <f>((((1-F$1)*D$1)-SUM(D$3:D138)+((F$1)*D$1))*(I139/12))</f>
        <v>2906.4897135743226</v>
      </c>
      <c r="F139" s="10">
        <f t="shared" si="14"/>
        <v>4209.0149683475756</v>
      </c>
      <c r="G139" s="10">
        <f t="shared" si="12"/>
        <v>1963.5</v>
      </c>
      <c r="H139" s="49"/>
      <c r="I139" s="19">
        <v>6.3E-2</v>
      </c>
    </row>
    <row r="140" spans="1:9" x14ac:dyDescent="0.25">
      <c r="A140" s="4">
        <f t="shared" si="11"/>
        <v>12</v>
      </c>
      <c r="B140" s="8">
        <f t="shared" si="10"/>
        <v>138</v>
      </c>
      <c r="C140" s="34">
        <f>SUM(D$3:D140)/D$1</f>
        <v>0.35175858878501554</v>
      </c>
      <c r="D140" s="10">
        <f t="shared" si="13"/>
        <v>1309.3635123608128</v>
      </c>
      <c r="E140" s="53">
        <f>((((1-F$1)*D$1)-SUM(D$3:D139)+((F$1)*D$1))*(I140/12))</f>
        <v>2899.6514559867628</v>
      </c>
      <c r="F140" s="10">
        <f t="shared" si="14"/>
        <v>4209.0149683475756</v>
      </c>
      <c r="G140" s="10">
        <f t="shared" si="12"/>
        <v>1963.5</v>
      </c>
      <c r="H140" s="49"/>
      <c r="I140" s="19">
        <v>6.3E-2</v>
      </c>
    </row>
    <row r="141" spans="1:9" x14ac:dyDescent="0.25">
      <c r="A141" s="4">
        <f t="shared" si="11"/>
        <v>12</v>
      </c>
      <c r="B141" s="8">
        <f t="shared" si="10"/>
        <v>139</v>
      </c>
      <c r="C141" s="34">
        <f>SUM(D$3:D141)/D$1</f>
        <v>0.35330710369183987</v>
      </c>
      <c r="D141" s="10">
        <f t="shared" si="13"/>
        <v>1316.2376708007073</v>
      </c>
      <c r="E141" s="53">
        <f>((((1-F$1)*D$1)-SUM(D$3:D140)+((F$1)*D$1))*(I141/12))</f>
        <v>2892.7772975468683</v>
      </c>
      <c r="F141" s="10">
        <f t="shared" si="14"/>
        <v>4209.0149683475756</v>
      </c>
      <c r="G141" s="10">
        <f t="shared" si="12"/>
        <v>1963.5</v>
      </c>
      <c r="H141" s="49"/>
      <c r="I141" s="19">
        <v>6.3E-2</v>
      </c>
    </row>
    <row r="142" spans="1:9" x14ac:dyDescent="0.25">
      <c r="A142" s="4">
        <f t="shared" si="11"/>
        <v>12</v>
      </c>
      <c r="B142" s="8">
        <f t="shared" si="10"/>
        <v>140</v>
      </c>
      <c r="C142" s="34">
        <f>SUM(D$3:D142)/D$1</f>
        <v>0.35486374830192507</v>
      </c>
      <c r="D142" s="10">
        <f t="shared" si="13"/>
        <v>1323.1479185724106</v>
      </c>
      <c r="E142" s="53">
        <f>((((1-F$1)*D$1)-SUM(D$3:D141)+((F$1)*D$1))*(I142/12))</f>
        <v>2885.867049775165</v>
      </c>
      <c r="F142" s="10">
        <f t="shared" si="14"/>
        <v>4209.0149683475756</v>
      </c>
      <c r="G142" s="10">
        <f t="shared" si="12"/>
        <v>1963.5</v>
      </c>
      <c r="H142" s="49"/>
      <c r="I142" s="19">
        <v>6.3E-2</v>
      </c>
    </row>
    <row r="143" spans="1:9" x14ac:dyDescent="0.25">
      <c r="A143" s="4">
        <f t="shared" si="11"/>
        <v>12</v>
      </c>
      <c r="B143" s="8">
        <f t="shared" si="10"/>
        <v>141</v>
      </c>
      <c r="C143" s="34">
        <f>SUM(D$3:D143)/D$1</f>
        <v>0.35642856529621325</v>
      </c>
      <c r="D143" s="10">
        <f t="shared" si="13"/>
        <v>1330.0944451449159</v>
      </c>
      <c r="E143" s="53">
        <f>((((1-F$1)*D$1)-SUM(D$3:D142)+((F$1)*D$1))*(I143/12))</f>
        <v>2878.9205232026598</v>
      </c>
      <c r="F143" s="10">
        <f t="shared" si="14"/>
        <v>4209.0149683475756</v>
      </c>
      <c r="G143" s="10">
        <f t="shared" si="12"/>
        <v>1963.5</v>
      </c>
      <c r="H143" s="49"/>
      <c r="I143" s="19">
        <v>6.3E-2</v>
      </c>
    </row>
    <row r="144" spans="1:9" x14ac:dyDescent="0.25">
      <c r="A144" s="4">
        <f t="shared" si="11"/>
        <v>12</v>
      </c>
      <c r="B144" s="8">
        <f t="shared" si="10"/>
        <v>142</v>
      </c>
      <c r="C144" s="34">
        <f>SUM(D$3:D144)/D$1</f>
        <v>0.35800159757972139</v>
      </c>
      <c r="D144" s="10">
        <f t="shared" si="13"/>
        <v>1337.0774409819269</v>
      </c>
      <c r="E144" s="53">
        <f>((((1-F$1)*D$1)-SUM(D$3:D143)+((F$1)*D$1))*(I144/12))</f>
        <v>2871.9375273656487</v>
      </c>
      <c r="F144" s="10">
        <f t="shared" si="14"/>
        <v>4209.0149683475756</v>
      </c>
      <c r="G144" s="10">
        <f t="shared" si="12"/>
        <v>1963.5</v>
      </c>
      <c r="H144" s="49"/>
      <c r="I144" s="19">
        <v>6.3E-2</v>
      </c>
    </row>
    <row r="145" spans="1:9" x14ac:dyDescent="0.25">
      <c r="A145" s="4">
        <f t="shared" si="11"/>
        <v>12</v>
      </c>
      <c r="B145" s="8">
        <f t="shared" si="10"/>
        <v>143</v>
      </c>
      <c r="C145" s="34">
        <f>SUM(D$3:D145)/D$1</f>
        <v>0.35958288828271795</v>
      </c>
      <c r="D145" s="10">
        <f t="shared" si="13"/>
        <v>1344.0970975470827</v>
      </c>
      <c r="E145" s="53">
        <f>((((1-F$1)*D$1)-SUM(D$3:D144)+((F$1)*D$1))*(I145/12))</f>
        <v>2864.9178708004929</v>
      </c>
      <c r="F145" s="10">
        <f t="shared" si="14"/>
        <v>4209.0149683475756</v>
      </c>
      <c r="G145" s="10">
        <f t="shared" si="12"/>
        <v>1963.5</v>
      </c>
      <c r="H145" s="49"/>
      <c r="I145" s="19">
        <v>6.3E-2</v>
      </c>
    </row>
    <row r="146" spans="1:9" x14ac:dyDescent="0.25">
      <c r="A146" s="4">
        <f t="shared" si="11"/>
        <v>12</v>
      </c>
      <c r="B146" s="8">
        <f t="shared" si="10"/>
        <v>144</v>
      </c>
      <c r="C146" s="34">
        <f>SUM(D$3:D146)/D$1</f>
        <v>0.36117248076190528</v>
      </c>
      <c r="D146" s="10">
        <f t="shared" si="13"/>
        <v>1351.1536073092043</v>
      </c>
      <c r="E146" s="53">
        <f>((((1-F$1)*D$1)-SUM(D$3:D145)+((F$1)*D$1))*(I146/12))</f>
        <v>2857.8613610383713</v>
      </c>
      <c r="F146" s="10">
        <f t="shared" si="14"/>
        <v>4209.0149683475756</v>
      </c>
      <c r="G146" s="10">
        <f t="shared" si="12"/>
        <v>1963.5</v>
      </c>
      <c r="H146" s="49"/>
      <c r="I146" s="19">
        <v>6.3E-2</v>
      </c>
    </row>
    <row r="147" spans="1:9" x14ac:dyDescent="0.25">
      <c r="A147" s="4">
        <f t="shared" si="11"/>
        <v>13</v>
      </c>
      <c r="B147" s="8">
        <f t="shared" si="10"/>
        <v>145</v>
      </c>
      <c r="C147" s="34">
        <f>SUM(D$3:D147)/D$1</f>
        <v>0.3627704186016083</v>
      </c>
      <c r="D147" s="10">
        <f t="shared" si="13"/>
        <v>1358.2471637475778</v>
      </c>
      <c r="E147" s="53">
        <f>((((1-F$1)*D$1)-SUM(D$3:D146)+((F$1)*D$1))*(I147/12))</f>
        <v>2850.7678045999978</v>
      </c>
      <c r="F147" s="10">
        <f t="shared" si="14"/>
        <v>4209.0149683475756</v>
      </c>
      <c r="G147" s="10">
        <f t="shared" si="12"/>
        <v>1963.5</v>
      </c>
      <c r="H147" s="49"/>
      <c r="I147" s="19">
        <v>6.3E-2</v>
      </c>
    </row>
    <row r="148" spans="1:9" x14ac:dyDescent="0.25">
      <c r="A148" s="4">
        <f t="shared" si="11"/>
        <v>13</v>
      </c>
      <c r="B148" s="8">
        <f t="shared" si="10"/>
        <v>146</v>
      </c>
      <c r="C148" s="34">
        <f>SUM(D$3:D148)/D$1</f>
        <v>0.36437674561496974</v>
      </c>
      <c r="D148" s="10">
        <f t="shared" si="13"/>
        <v>1365.3779613572524</v>
      </c>
      <c r="E148" s="53">
        <f>((((1-F$1)*D$1)-SUM(D$3:D147)+((F$1)*D$1))*(I148/12))</f>
        <v>2843.6370069903232</v>
      </c>
      <c r="F148" s="10">
        <f t="shared" si="14"/>
        <v>4209.0149683475756</v>
      </c>
      <c r="G148" s="10">
        <f t="shared" si="12"/>
        <v>1963.5</v>
      </c>
      <c r="H148" s="49"/>
      <c r="I148" s="19">
        <v>6.3E-2</v>
      </c>
    </row>
    <row r="149" spans="1:9" x14ac:dyDescent="0.25">
      <c r="A149" s="4">
        <f t="shared" si="11"/>
        <v>13</v>
      </c>
      <c r="B149" s="8">
        <f t="shared" si="10"/>
        <v>147</v>
      </c>
      <c r="C149" s="34">
        <f>SUM(D$3:D149)/D$1</f>
        <v>0.36599150584515139</v>
      </c>
      <c r="D149" s="10">
        <f t="shared" si="13"/>
        <v>1372.5461956543782</v>
      </c>
      <c r="E149" s="53">
        <f>((((1-F$1)*D$1)-SUM(D$3:D148)+((F$1)*D$1))*(I149/12))</f>
        <v>2836.4687726931975</v>
      </c>
      <c r="F149" s="10">
        <f t="shared" si="14"/>
        <v>4209.0149683475756</v>
      </c>
      <c r="G149" s="10">
        <f t="shared" si="12"/>
        <v>1963.5</v>
      </c>
      <c r="H149" s="49"/>
      <c r="I149" s="19">
        <v>6.3E-2</v>
      </c>
    </row>
    <row r="150" spans="1:9" x14ac:dyDescent="0.25">
      <c r="A150" s="4">
        <f t="shared" si="11"/>
        <v>13</v>
      </c>
      <c r="B150" s="8">
        <f t="shared" si="10"/>
        <v>148</v>
      </c>
      <c r="C150" s="34">
        <f>SUM(D$3:D150)/D$1</f>
        <v>0.36761474356654139</v>
      </c>
      <c r="D150" s="10">
        <f t="shared" si="13"/>
        <v>1379.7520631815632</v>
      </c>
      <c r="E150" s="53">
        <f>((((1-F$1)*D$1)-SUM(D$3:D149)+((F$1)*D$1))*(I150/12))</f>
        <v>2829.2629051660124</v>
      </c>
      <c r="F150" s="10">
        <f t="shared" si="14"/>
        <v>4209.0149683475756</v>
      </c>
      <c r="G150" s="10">
        <f t="shared" si="12"/>
        <v>1963.5</v>
      </c>
      <c r="H150" s="49"/>
      <c r="I150" s="19">
        <v>6.3E-2</v>
      </c>
    </row>
    <row r="151" spans="1:9" x14ac:dyDescent="0.25">
      <c r="A151" s="4">
        <f t="shared" si="11"/>
        <v>13</v>
      </c>
      <c r="B151" s="8">
        <f t="shared" si="10"/>
        <v>149</v>
      </c>
      <c r="C151" s="34">
        <f>SUM(D$3:D151)/D$1</f>
        <v>0.36924650328596875</v>
      </c>
      <c r="D151" s="10">
        <f t="shared" si="13"/>
        <v>1386.9957615132666</v>
      </c>
      <c r="E151" s="53">
        <f>((((1-F$1)*D$1)-SUM(D$3:D150)+((F$1)*D$1))*(I151/12))</f>
        <v>2822.019206834309</v>
      </c>
      <c r="F151" s="10">
        <f t="shared" si="14"/>
        <v>4209.0149683475756</v>
      </c>
      <c r="G151" s="10">
        <f t="shared" si="12"/>
        <v>1963.5</v>
      </c>
      <c r="H151" s="49"/>
      <c r="I151" s="19">
        <v>6.3E-2</v>
      </c>
    </row>
    <row r="152" spans="1:9" x14ac:dyDescent="0.25">
      <c r="A152" s="4">
        <f t="shared" si="11"/>
        <v>13</v>
      </c>
      <c r="B152" s="8">
        <f t="shared" si="10"/>
        <v>150</v>
      </c>
      <c r="C152" s="34">
        <f>SUM(D$3:D152)/D$1</f>
        <v>0.37088682974392317</v>
      </c>
      <c r="D152" s="10">
        <f t="shared" si="13"/>
        <v>1394.277489261211</v>
      </c>
      <c r="E152" s="53">
        <f>((((1-F$1)*D$1)-SUM(D$3:D151)+((F$1)*D$1))*(I152/12))</f>
        <v>2814.7374790863646</v>
      </c>
      <c r="F152" s="10">
        <f t="shared" si="14"/>
        <v>4209.0149683475756</v>
      </c>
      <c r="G152" s="10">
        <f t="shared" si="12"/>
        <v>1963.5</v>
      </c>
      <c r="H152" s="49"/>
      <c r="I152" s="19">
        <v>6.3E-2</v>
      </c>
    </row>
    <row r="153" spans="1:9" x14ac:dyDescent="0.25">
      <c r="A153" s="4">
        <f t="shared" si="11"/>
        <v>13</v>
      </c>
      <c r="B153" s="8">
        <f t="shared" si="10"/>
        <v>151</v>
      </c>
      <c r="C153" s="34">
        <f>SUM(D$3:D153)/D$1</f>
        <v>0.3725357679157818</v>
      </c>
      <c r="D153" s="10">
        <f t="shared" si="13"/>
        <v>1401.5974460798325</v>
      </c>
      <c r="E153" s="53">
        <f>((((1-F$1)*D$1)-SUM(D$3:D152)+((F$1)*D$1))*(I153/12))</f>
        <v>2807.4175222677432</v>
      </c>
      <c r="F153" s="10">
        <f t="shared" si="14"/>
        <v>4209.0149683475756</v>
      </c>
      <c r="G153" s="10">
        <f t="shared" si="12"/>
        <v>1963.5</v>
      </c>
      <c r="H153" s="49"/>
      <c r="I153" s="19">
        <v>6.3E-2</v>
      </c>
    </row>
    <row r="154" spans="1:9" x14ac:dyDescent="0.25">
      <c r="A154" s="4">
        <f t="shared" si="11"/>
        <v>13</v>
      </c>
      <c r="B154" s="8">
        <f t="shared" si="10"/>
        <v>152</v>
      </c>
      <c r="C154" s="34">
        <f>SUM(D$3:D154)/D$1</f>
        <v>0.37419336301304262</v>
      </c>
      <c r="D154" s="10">
        <f t="shared" si="13"/>
        <v>1408.9558326717515</v>
      </c>
      <c r="E154" s="53">
        <f>((((1-F$1)*D$1)-SUM(D$3:D153)+((F$1)*D$1))*(I154/12))</f>
        <v>2800.0591356758241</v>
      </c>
      <c r="F154" s="10">
        <f t="shared" si="14"/>
        <v>4209.0149683475756</v>
      </c>
      <c r="G154" s="10">
        <f t="shared" si="12"/>
        <v>1963.5</v>
      </c>
      <c r="H154" s="49"/>
      <c r="I154" s="19">
        <v>6.3E-2</v>
      </c>
    </row>
    <row r="155" spans="1:9" x14ac:dyDescent="0.25">
      <c r="A155" s="4">
        <f t="shared" si="11"/>
        <v>13</v>
      </c>
      <c r="B155" s="8">
        <f t="shared" si="10"/>
        <v>153</v>
      </c>
      <c r="C155" s="34">
        <f>SUM(D$3:D155)/D$1</f>
        <v>0.37585966048456415</v>
      </c>
      <c r="D155" s="10">
        <f t="shared" si="13"/>
        <v>1416.3528507932783</v>
      </c>
      <c r="E155" s="53">
        <f>((((1-F$1)*D$1)-SUM(D$3:D154)+((F$1)*D$1))*(I155/12))</f>
        <v>2792.6621175542973</v>
      </c>
      <c r="F155" s="10">
        <f t="shared" si="14"/>
        <v>4209.0149683475756</v>
      </c>
      <c r="G155" s="10">
        <f t="shared" si="12"/>
        <v>1963.5</v>
      </c>
      <c r="H155" s="49"/>
      <c r="I155" s="19">
        <v>6.3E-2</v>
      </c>
    </row>
    <row r="156" spans="1:9" x14ac:dyDescent="0.25">
      <c r="A156" s="4">
        <f t="shared" si="11"/>
        <v>13</v>
      </c>
      <c r="B156" s="8">
        <f t="shared" si="10"/>
        <v>154</v>
      </c>
      <c r="C156" s="34">
        <f>SUM(D$3:D156)/D$1</f>
        <v>0.37753470601781114</v>
      </c>
      <c r="D156" s="10">
        <f t="shared" si="13"/>
        <v>1423.7887032599428</v>
      </c>
      <c r="E156" s="53">
        <f>((((1-F$1)*D$1)-SUM(D$3:D155)+((F$1)*D$1))*(I156/12))</f>
        <v>2785.2262650876328</v>
      </c>
      <c r="F156" s="10">
        <f t="shared" si="14"/>
        <v>4209.0149683475756</v>
      </c>
      <c r="G156" s="10">
        <f t="shared" si="12"/>
        <v>1963.5</v>
      </c>
      <c r="H156" s="49"/>
      <c r="I156" s="19">
        <v>6.3E-2</v>
      </c>
    </row>
    <row r="157" spans="1:9" x14ac:dyDescent="0.25">
      <c r="A157" s="4">
        <f t="shared" si="11"/>
        <v>13</v>
      </c>
      <c r="B157" s="8">
        <f t="shared" si="10"/>
        <v>155</v>
      </c>
      <c r="C157" s="34">
        <f>SUM(D$3:D157)/D$1</f>
        <v>0.3792185455401077</v>
      </c>
      <c r="D157" s="10">
        <f t="shared" si="13"/>
        <v>1431.2635939520574</v>
      </c>
      <c r="E157" s="53">
        <f>((((1-F$1)*D$1)-SUM(D$3:D156)+((F$1)*D$1))*(I157/12))</f>
        <v>2777.7513743955183</v>
      </c>
      <c r="F157" s="10">
        <f t="shared" si="14"/>
        <v>4209.0149683475756</v>
      </c>
      <c r="G157" s="10">
        <f t="shared" si="12"/>
        <v>1963.5</v>
      </c>
      <c r="H157" s="49"/>
      <c r="I157" s="19">
        <v>6.3E-2</v>
      </c>
    </row>
    <row r="158" spans="1:9" x14ac:dyDescent="0.25">
      <c r="A158" s="4">
        <f t="shared" si="11"/>
        <v>13</v>
      </c>
      <c r="B158" s="8">
        <f t="shared" si="10"/>
        <v>156</v>
      </c>
      <c r="C158" s="34">
        <f>SUM(D$3:D158)/D$1</f>
        <v>0.38091122521989629</v>
      </c>
      <c r="D158" s="10">
        <f t="shared" si="13"/>
        <v>1438.7777278203062</v>
      </c>
      <c r="E158" s="53">
        <f>((((1-F$1)*D$1)-SUM(D$3:D157)+((F$1)*D$1))*(I158/12))</f>
        <v>2770.2372405272695</v>
      </c>
      <c r="F158" s="10">
        <f t="shared" si="14"/>
        <v>4209.0149683475756</v>
      </c>
      <c r="G158" s="10">
        <f t="shared" si="12"/>
        <v>1963.5</v>
      </c>
      <c r="H158" s="49"/>
      <c r="I158" s="19">
        <v>6.3E-2</v>
      </c>
    </row>
    <row r="159" spans="1:9" x14ac:dyDescent="0.25">
      <c r="A159" s="4">
        <f t="shared" si="11"/>
        <v>14</v>
      </c>
      <c r="B159" s="8">
        <f t="shared" si="10"/>
        <v>157</v>
      </c>
      <c r="C159" s="34">
        <f>SUM(D$3:D159)/D$1</f>
        <v>0.38261279146800381</v>
      </c>
      <c r="D159" s="10">
        <f t="shared" si="13"/>
        <v>1446.3313108913626</v>
      </c>
      <c r="E159" s="53">
        <f>((((1-F$1)*D$1)-SUM(D$3:D158)+((F$1)*D$1))*(I159/12))</f>
        <v>2762.683657456213</v>
      </c>
      <c r="F159" s="10">
        <f t="shared" si="14"/>
        <v>4209.0149683475756</v>
      </c>
      <c r="G159" s="10">
        <f t="shared" si="12"/>
        <v>1963.5</v>
      </c>
      <c r="H159" s="49"/>
      <c r="I159" s="19">
        <v>6.3E-2</v>
      </c>
    </row>
    <row r="160" spans="1:9" x14ac:dyDescent="0.25">
      <c r="A160" s="4">
        <f t="shared" si="11"/>
        <v>14</v>
      </c>
      <c r="B160" s="8">
        <f t="shared" si="10"/>
        <v>158</v>
      </c>
      <c r="C160" s="34">
        <f>SUM(D$3:D160)/D$1</f>
        <v>0.38432329093891382</v>
      </c>
      <c r="D160" s="10">
        <f t="shared" si="13"/>
        <v>1453.9245502735425</v>
      </c>
      <c r="E160" s="53">
        <f>((((1-F$1)*D$1)-SUM(D$3:D159)+((F$1)*D$1))*(I160/12))</f>
        <v>2755.0904180740331</v>
      </c>
      <c r="F160" s="10">
        <f t="shared" si="14"/>
        <v>4209.0149683475756</v>
      </c>
      <c r="G160" s="10">
        <f t="shared" si="12"/>
        <v>1963.5</v>
      </c>
      <c r="H160" s="49"/>
      <c r="I160" s="19">
        <v>6.3E-2</v>
      </c>
    </row>
    <row r="161" spans="1:9" x14ac:dyDescent="0.25">
      <c r="A161" s="4">
        <f t="shared" si="11"/>
        <v>14</v>
      </c>
      <c r="B161" s="8">
        <f t="shared" ref="B161:B224" si="15">B160+1</f>
        <v>159</v>
      </c>
      <c r="C161" s="34">
        <f>SUM(D$3:D161)/D$1</f>
        <v>0.38604277053204611</v>
      </c>
      <c r="D161" s="10">
        <f t="shared" si="13"/>
        <v>1461.5576541624782</v>
      </c>
      <c r="E161" s="53">
        <f>((((1-F$1)*D$1)-SUM(D$3:D160)+((F$1)*D$1))*(I161/12))</f>
        <v>2747.4573141850974</v>
      </c>
      <c r="F161" s="10">
        <f t="shared" si="14"/>
        <v>4209.0149683475756</v>
      </c>
      <c r="G161" s="10">
        <f t="shared" si="12"/>
        <v>1963.5</v>
      </c>
      <c r="H161" s="49"/>
      <c r="I161" s="19">
        <v>6.3E-2</v>
      </c>
    </row>
    <row r="162" spans="1:9" x14ac:dyDescent="0.25">
      <c r="A162" s="4">
        <f t="shared" si="11"/>
        <v>14</v>
      </c>
      <c r="B162" s="8">
        <f t="shared" si="15"/>
        <v>160</v>
      </c>
      <c r="C162" s="34">
        <f>SUM(D$3:D162)/D$1</f>
        <v>0.3877712773930424</v>
      </c>
      <c r="D162" s="10">
        <f t="shared" si="13"/>
        <v>1469.2308318468313</v>
      </c>
      <c r="E162" s="53">
        <f>((((1-F$1)*D$1)-SUM(D$3:D161)+((F$1)*D$1))*(I162/12))</f>
        <v>2739.7841365007444</v>
      </c>
      <c r="F162" s="10">
        <f t="shared" si="14"/>
        <v>4209.0149683475756</v>
      </c>
      <c r="G162" s="10">
        <f t="shared" si="12"/>
        <v>1963.5</v>
      </c>
      <c r="H162" s="49"/>
      <c r="I162" s="19">
        <v>6.3E-2</v>
      </c>
    </row>
    <row r="163" spans="1:9" x14ac:dyDescent="0.25">
      <c r="A163" s="4">
        <f t="shared" si="11"/>
        <v>14</v>
      </c>
      <c r="B163" s="8">
        <f t="shared" si="15"/>
        <v>161</v>
      </c>
      <c r="C163" s="34">
        <f>SUM(D$3:D163)/D$1</f>
        <v>0.38950885891505888</v>
      </c>
      <c r="D163" s="10">
        <f t="shared" si="13"/>
        <v>1476.944293714027</v>
      </c>
      <c r="E163" s="53">
        <f>((((1-F$1)*D$1)-SUM(D$3:D162)+((F$1)*D$1))*(I163/12))</f>
        <v>2732.0706746335486</v>
      </c>
      <c r="F163" s="10">
        <f t="shared" si="14"/>
        <v>4209.0149683475756</v>
      </c>
      <c r="G163" s="10">
        <f t="shared" si="12"/>
        <v>1963.5</v>
      </c>
      <c r="H163" s="49"/>
      <c r="I163" s="19">
        <v>6.3E-2</v>
      </c>
    </row>
    <row r="164" spans="1:9" x14ac:dyDescent="0.25">
      <c r="A164" s="4">
        <f t="shared" si="11"/>
        <v>14</v>
      </c>
      <c r="B164" s="8">
        <f t="shared" si="15"/>
        <v>162</v>
      </c>
      <c r="C164" s="34">
        <f>SUM(D$3:D164)/D$1</f>
        <v>0.39125556274006595</v>
      </c>
      <c r="D164" s="10">
        <f t="shared" si="13"/>
        <v>1484.6982512560257</v>
      </c>
      <c r="E164" s="53">
        <f>((((1-F$1)*D$1)-SUM(D$3:D163)+((F$1)*D$1))*(I164/12))</f>
        <v>2724.3167170915499</v>
      </c>
      <c r="F164" s="10">
        <f t="shared" si="14"/>
        <v>4209.0149683475756</v>
      </c>
      <c r="G164" s="10">
        <f t="shared" si="12"/>
        <v>1963.5</v>
      </c>
      <c r="H164" s="49"/>
      <c r="I164" s="19">
        <v>6.3E-2</v>
      </c>
    </row>
    <row r="165" spans="1:9" x14ac:dyDescent="0.25">
      <c r="A165" s="4">
        <f t="shared" si="11"/>
        <v>14</v>
      </c>
      <c r="B165" s="8">
        <f t="shared" si="15"/>
        <v>163</v>
      </c>
      <c r="C165" s="34">
        <f>SUM(D$3:D165)/D$1</f>
        <v>0.39301143676015432</v>
      </c>
      <c r="D165" s="10">
        <f t="shared" si="13"/>
        <v>1492.4929170751197</v>
      </c>
      <c r="E165" s="53">
        <f>((((1-F$1)*D$1)-SUM(D$3:D164)+((F$1)*D$1))*(I165/12))</f>
        <v>2716.5220512724559</v>
      </c>
      <c r="F165" s="10">
        <f t="shared" si="14"/>
        <v>4209.0149683475756</v>
      </c>
      <c r="G165" s="10">
        <f t="shared" si="12"/>
        <v>1963.5</v>
      </c>
      <c r="H165" s="49"/>
      <c r="I165" s="19">
        <v>6.3E-2</v>
      </c>
    </row>
    <row r="166" spans="1:9" x14ac:dyDescent="0.25">
      <c r="A166" s="4">
        <f t="shared" si="11"/>
        <v>14</v>
      </c>
      <c r="B166" s="8">
        <f t="shared" si="15"/>
        <v>164</v>
      </c>
      <c r="C166" s="34">
        <f>SUM(D$3:D166)/D$1</f>
        <v>0.39477652911884814</v>
      </c>
      <c r="D166" s="10">
        <f t="shared" si="13"/>
        <v>1500.3285048897642</v>
      </c>
      <c r="E166" s="53">
        <f>((((1-F$1)*D$1)-SUM(D$3:D165)+((F$1)*D$1))*(I166/12))</f>
        <v>2708.6864634578114</v>
      </c>
      <c r="F166" s="10">
        <f t="shared" si="14"/>
        <v>4209.0149683475756</v>
      </c>
      <c r="G166" s="10">
        <f t="shared" si="12"/>
        <v>1963.5</v>
      </c>
      <c r="H166" s="49"/>
      <c r="I166" s="19">
        <v>6.3E-2</v>
      </c>
    </row>
    <row r="167" spans="1:9" x14ac:dyDescent="0.25">
      <c r="A167" s="4">
        <f t="shared" si="11"/>
        <v>14</v>
      </c>
      <c r="B167" s="8">
        <f t="shared" si="15"/>
        <v>165</v>
      </c>
      <c r="C167" s="34">
        <f>SUM(D$3:D167)/D$1</f>
        <v>0.39655088821242507</v>
      </c>
      <c r="D167" s="10">
        <f t="shared" si="13"/>
        <v>1508.2052295404351</v>
      </c>
      <c r="E167" s="53">
        <f>((((1-F$1)*D$1)-SUM(D$3:D166)+((F$1)*D$1))*(I167/12))</f>
        <v>2700.8097388071405</v>
      </c>
      <c r="F167" s="10">
        <f t="shared" si="14"/>
        <v>4209.0149683475756</v>
      </c>
      <c r="G167" s="10">
        <f t="shared" si="12"/>
        <v>1963.5</v>
      </c>
      <c r="H167" s="49"/>
      <c r="I167" s="19">
        <v>6.3E-2</v>
      </c>
    </row>
    <row r="168" spans="1:9" x14ac:dyDescent="0.25">
      <c r="A168" s="4">
        <f t="shared" si="11"/>
        <v>14</v>
      </c>
      <c r="B168" s="8">
        <f t="shared" si="15"/>
        <v>166</v>
      </c>
      <c r="C168" s="34">
        <f>SUM(D$3:D168)/D$1</f>
        <v>0.3983345626912434</v>
      </c>
      <c r="D168" s="10">
        <f t="shared" si="13"/>
        <v>1516.1233069955224</v>
      </c>
      <c r="E168" s="53">
        <f>((((1-F$1)*D$1)-SUM(D$3:D167)+((F$1)*D$1))*(I168/12))</f>
        <v>2692.8916613520532</v>
      </c>
      <c r="F168" s="10">
        <f t="shared" si="14"/>
        <v>4209.0149683475756</v>
      </c>
      <c r="G168" s="10">
        <f t="shared" si="12"/>
        <v>1963.5</v>
      </c>
      <c r="H168" s="49"/>
      <c r="I168" s="19">
        <v>6.3E-2</v>
      </c>
    </row>
    <row r="169" spans="1:9" x14ac:dyDescent="0.25">
      <c r="A169" s="4">
        <f t="shared" si="11"/>
        <v>14</v>
      </c>
      <c r="B169" s="8">
        <f t="shared" si="15"/>
        <v>167</v>
      </c>
      <c r="C169" s="34">
        <f>SUM(D$3:D169)/D$1</f>
        <v>0.40012760146107546</v>
      </c>
      <c r="D169" s="10">
        <f t="shared" si="13"/>
        <v>1524.082954357249</v>
      </c>
      <c r="E169" s="53">
        <f>((((1-F$1)*D$1)-SUM(D$3:D168)+((F$1)*D$1))*(I169/12))</f>
        <v>2684.9320139903266</v>
      </c>
      <c r="F169" s="10">
        <f t="shared" si="14"/>
        <v>4209.0149683475756</v>
      </c>
      <c r="G169" s="10">
        <f t="shared" si="12"/>
        <v>1963.5</v>
      </c>
      <c r="H169" s="49"/>
      <c r="I169" s="19">
        <v>6.3E-2</v>
      </c>
    </row>
    <row r="170" spans="1:9" x14ac:dyDescent="0.25">
      <c r="A170" s="4">
        <f t="shared" si="11"/>
        <v>14</v>
      </c>
      <c r="B170" s="8">
        <f t="shared" si="15"/>
        <v>168</v>
      </c>
      <c r="C170" s="34">
        <f>SUM(D$3:D170)/D$1</f>
        <v>0.40193005368444912</v>
      </c>
      <c r="D170" s="10">
        <f t="shared" si="13"/>
        <v>1532.0843898676249</v>
      </c>
      <c r="E170" s="53">
        <f>((((1-F$1)*D$1)-SUM(D$3:D169)+((F$1)*D$1))*(I170/12))</f>
        <v>2676.9305784799508</v>
      </c>
      <c r="F170" s="10">
        <f t="shared" si="14"/>
        <v>4209.0149683475756</v>
      </c>
      <c r="G170" s="10">
        <f t="shared" si="12"/>
        <v>1963.5</v>
      </c>
      <c r="H170" s="49"/>
      <c r="I170" s="19">
        <v>6.3E-2</v>
      </c>
    </row>
    <row r="171" spans="1:9" x14ac:dyDescent="0.25">
      <c r="A171" s="4">
        <f t="shared" si="11"/>
        <v>15</v>
      </c>
      <c r="B171" s="8">
        <f t="shared" si="15"/>
        <v>169</v>
      </c>
      <c r="C171" s="34">
        <f>SUM(D$3:D171)/D$1</f>
        <v>0.40374196878199548</v>
      </c>
      <c r="D171" s="10">
        <f t="shared" si="13"/>
        <v>1540.1278329144297</v>
      </c>
      <c r="E171" s="53">
        <f>((((1-F$1)*D$1)-SUM(D$3:D170)+((F$1)*D$1))*(I171/12))</f>
        <v>2668.8871354331459</v>
      </c>
      <c r="F171" s="10">
        <f t="shared" si="14"/>
        <v>4209.0149683475756</v>
      </c>
      <c r="G171" s="10">
        <f t="shared" si="12"/>
        <v>1963.5</v>
      </c>
      <c r="H171" s="49"/>
      <c r="I171" s="19">
        <v>6.3E-2</v>
      </c>
    </row>
    <row r="172" spans="1:9" x14ac:dyDescent="0.25">
      <c r="A172" s="4">
        <f t="shared" si="11"/>
        <v>15</v>
      </c>
      <c r="B172" s="8">
        <f t="shared" si="15"/>
        <v>170</v>
      </c>
      <c r="C172" s="34">
        <f>SUM(D$3:D172)/D$1</f>
        <v>0.40556339643380401</v>
      </c>
      <c r="D172" s="10">
        <f t="shared" si="13"/>
        <v>1548.2135040372305</v>
      </c>
      <c r="E172" s="53">
        <f>((((1-F$1)*D$1)-SUM(D$3:D171)+((F$1)*D$1))*(I172/12))</f>
        <v>2660.8014643103452</v>
      </c>
      <c r="F172" s="10">
        <f t="shared" si="14"/>
        <v>4209.0149683475756</v>
      </c>
      <c r="G172" s="10">
        <f t="shared" si="12"/>
        <v>1963.5</v>
      </c>
      <c r="H172" s="49"/>
      <c r="I172" s="19">
        <v>6.3E-2</v>
      </c>
    </row>
    <row r="173" spans="1:9" x14ac:dyDescent="0.25">
      <c r="A173" s="4">
        <f t="shared" si="11"/>
        <v>15</v>
      </c>
      <c r="B173" s="8">
        <f t="shared" si="15"/>
        <v>171</v>
      </c>
      <c r="C173" s="34">
        <f>SUM(D$3:D173)/D$1</f>
        <v>0.40739438658078447</v>
      </c>
      <c r="D173" s="10">
        <f t="shared" si="13"/>
        <v>1556.3416249334259</v>
      </c>
      <c r="E173" s="53">
        <f>((((1-F$1)*D$1)-SUM(D$3:D172)+((F$1)*D$1))*(I173/12))</f>
        <v>2652.6733434141497</v>
      </c>
      <c r="F173" s="10">
        <f t="shared" si="14"/>
        <v>4209.0149683475756</v>
      </c>
      <c r="G173" s="10">
        <f t="shared" si="12"/>
        <v>1963.5</v>
      </c>
      <c r="H173" s="49"/>
      <c r="I173" s="19">
        <v>6.3E-2</v>
      </c>
    </row>
    <row r="174" spans="1:9" x14ac:dyDescent="0.25">
      <c r="A174" s="4">
        <f t="shared" si="11"/>
        <v>15</v>
      </c>
      <c r="B174" s="8">
        <f t="shared" si="15"/>
        <v>172</v>
      </c>
      <c r="C174" s="34">
        <f>SUM(D$3:D174)/D$1</f>
        <v>0.40923498942603664</v>
      </c>
      <c r="D174" s="10">
        <f t="shared" si="13"/>
        <v>1564.5124184643264</v>
      </c>
      <c r="E174" s="53">
        <f>((((1-F$1)*D$1)-SUM(D$3:D173)+((F$1)*D$1))*(I174/12))</f>
        <v>2644.5025498832492</v>
      </c>
      <c r="F174" s="10">
        <f t="shared" si="14"/>
        <v>4209.0149683475756</v>
      </c>
      <c r="G174" s="10">
        <f t="shared" si="12"/>
        <v>1963.5</v>
      </c>
      <c r="H174" s="49"/>
      <c r="I174" s="19">
        <v>6.3E-2</v>
      </c>
    </row>
    <row r="175" spans="1:9" x14ac:dyDescent="0.25">
      <c r="A175" s="4">
        <f t="shared" si="11"/>
        <v>15</v>
      </c>
      <c r="B175" s="8">
        <f t="shared" si="15"/>
        <v>173</v>
      </c>
      <c r="C175" s="34">
        <f>SUM(D$3:D175)/D$1</f>
        <v>0.41108525543622637</v>
      </c>
      <c r="D175" s="10">
        <f t="shared" si="13"/>
        <v>1572.7261086612639</v>
      </c>
      <c r="E175" s="53">
        <f>((((1-F$1)*D$1)-SUM(D$3:D174)+((F$1)*D$1))*(I175/12))</f>
        <v>2636.2888596863118</v>
      </c>
      <c r="F175" s="10">
        <f t="shared" si="14"/>
        <v>4209.0149683475756</v>
      </c>
      <c r="G175" s="10">
        <f t="shared" si="12"/>
        <v>1963.5</v>
      </c>
      <c r="H175" s="49"/>
      <c r="I175" s="19">
        <v>6.3E-2</v>
      </c>
    </row>
    <row r="176" spans="1:9" x14ac:dyDescent="0.25">
      <c r="A176" s="4">
        <f t="shared" si="11"/>
        <v>15</v>
      </c>
      <c r="B176" s="8">
        <f t="shared" si="15"/>
        <v>174</v>
      </c>
      <c r="C176" s="34">
        <f>SUM(D$3:D176)/D$1</f>
        <v>0.41294523534296956</v>
      </c>
      <c r="D176" s="10">
        <f t="shared" si="13"/>
        <v>1580.9829207317357</v>
      </c>
      <c r="E176" s="53">
        <f>((((1-F$1)*D$1)-SUM(D$3:D175)+((F$1)*D$1))*(I176/12))</f>
        <v>2628.0320476158399</v>
      </c>
      <c r="F176" s="10">
        <f t="shared" si="14"/>
        <v>4209.0149683475756</v>
      </c>
      <c r="G176" s="10">
        <f t="shared" si="12"/>
        <v>1963.5</v>
      </c>
      <c r="H176" s="49"/>
      <c r="I176" s="19">
        <v>6.3E-2</v>
      </c>
    </row>
    <row r="177" spans="1:9" x14ac:dyDescent="0.25">
      <c r="A177" s="4">
        <f t="shared" si="11"/>
        <v>15</v>
      </c>
      <c r="B177" s="8">
        <f t="shared" si="15"/>
        <v>175</v>
      </c>
      <c r="C177" s="34">
        <f>SUM(D$3:D177)/D$1</f>
        <v>0.41481498014422319</v>
      </c>
      <c r="D177" s="10">
        <f t="shared" si="13"/>
        <v>1589.2830810655773</v>
      </c>
      <c r="E177" s="53">
        <f>((((1-F$1)*D$1)-SUM(D$3:D176)+((F$1)*D$1))*(I177/12))</f>
        <v>2619.7318872819983</v>
      </c>
      <c r="F177" s="10">
        <f t="shared" si="14"/>
        <v>4209.0149683475756</v>
      </c>
      <c r="G177" s="10">
        <f t="shared" si="12"/>
        <v>1963.5</v>
      </c>
      <c r="H177" s="49"/>
      <c r="I177" s="19">
        <v>6.3E-2</v>
      </c>
    </row>
    <row r="178" spans="1:9" x14ac:dyDescent="0.25">
      <c r="A178" s="4">
        <f t="shared" si="11"/>
        <v>15</v>
      </c>
      <c r="B178" s="8">
        <f t="shared" si="15"/>
        <v>176</v>
      </c>
      <c r="C178" s="34">
        <f>SUM(D$3:D178)/D$1</f>
        <v>0.41669454110568344</v>
      </c>
      <c r="D178" s="10">
        <f t="shared" si="13"/>
        <v>1597.6268172411715</v>
      </c>
      <c r="E178" s="53">
        <f>((((1-F$1)*D$1)-SUM(D$3:D177)+((F$1)*D$1))*(I178/12))</f>
        <v>2611.3881511064042</v>
      </c>
      <c r="F178" s="10">
        <f t="shared" si="14"/>
        <v>4209.0149683475756</v>
      </c>
      <c r="G178" s="10">
        <f t="shared" si="12"/>
        <v>1963.5</v>
      </c>
      <c r="H178" s="49"/>
      <c r="I178" s="19">
        <v>6.3E-2</v>
      </c>
    </row>
    <row r="179" spans="1:9" x14ac:dyDescent="0.25">
      <c r="A179" s="4">
        <f t="shared" si="11"/>
        <v>15</v>
      </c>
      <c r="B179" s="8">
        <f t="shared" si="15"/>
        <v>177</v>
      </c>
      <c r="C179" s="34">
        <f>SUM(D$3:D179)/D$1</f>
        <v>0.41858396976219125</v>
      </c>
      <c r="D179" s="10">
        <f t="shared" si="13"/>
        <v>1606.0143580316876</v>
      </c>
      <c r="E179" s="53">
        <f>((((1-F$1)*D$1)-SUM(D$3:D178)+((F$1)*D$1))*(I179/12))</f>
        <v>2603.000610315888</v>
      </c>
      <c r="F179" s="10">
        <f t="shared" si="14"/>
        <v>4209.0149683475756</v>
      </c>
      <c r="G179" s="10">
        <f t="shared" si="12"/>
        <v>1963.5</v>
      </c>
      <c r="H179" s="49"/>
      <c r="I179" s="19">
        <v>6.3E-2</v>
      </c>
    </row>
    <row r="180" spans="1:9" x14ac:dyDescent="0.25">
      <c r="A180" s="4">
        <f t="shared" si="11"/>
        <v>15</v>
      </c>
      <c r="B180" s="8">
        <f t="shared" si="15"/>
        <v>178</v>
      </c>
      <c r="C180" s="34">
        <f>SUM(D$3:D180)/D$1</f>
        <v>0.42048331791914584</v>
      </c>
      <c r="D180" s="10">
        <f t="shared" si="13"/>
        <v>1614.445933411354</v>
      </c>
      <c r="E180" s="53">
        <f>((((1-F$1)*D$1)-SUM(D$3:D179)+((F$1)*D$1))*(I180/12))</f>
        <v>2594.5690349362217</v>
      </c>
      <c r="F180" s="10">
        <f t="shared" si="14"/>
        <v>4209.0149683475756</v>
      </c>
      <c r="G180" s="10">
        <f t="shared" si="12"/>
        <v>1963.5</v>
      </c>
      <c r="H180" s="49"/>
      <c r="I180" s="19">
        <v>6.3E-2</v>
      </c>
    </row>
    <row r="181" spans="1:9" x14ac:dyDescent="0.25">
      <c r="A181" s="4">
        <f t="shared" si="11"/>
        <v>15</v>
      </c>
      <c r="B181" s="8">
        <f t="shared" si="15"/>
        <v>179</v>
      </c>
      <c r="C181" s="34">
        <f>SUM(D$3:D181)/D$1</f>
        <v>0.42239263765392437</v>
      </c>
      <c r="D181" s="10">
        <f t="shared" si="13"/>
        <v>1622.9217745617639</v>
      </c>
      <c r="E181" s="53">
        <f>((((1-F$1)*D$1)-SUM(D$3:D180)+((F$1)*D$1))*(I181/12))</f>
        <v>2586.0931937858118</v>
      </c>
      <c r="F181" s="10">
        <f t="shared" si="14"/>
        <v>4209.0149683475756</v>
      </c>
      <c r="G181" s="10">
        <f t="shared" si="12"/>
        <v>1963.5</v>
      </c>
      <c r="H181" s="49"/>
      <c r="I181" s="19">
        <v>6.3E-2</v>
      </c>
    </row>
    <row r="182" spans="1:9" x14ac:dyDescent="0.25">
      <c r="A182" s="4">
        <f t="shared" si="11"/>
        <v>15</v>
      </c>
      <c r="B182" s="8">
        <f t="shared" si="15"/>
        <v>180</v>
      </c>
      <c r="C182" s="34">
        <f>SUM(D$3:D182)/D$1</f>
        <v>0.42431198131731046</v>
      </c>
      <c r="D182" s="10">
        <f t="shared" si="13"/>
        <v>1631.4421138782127</v>
      </c>
      <c r="E182" s="53">
        <f>((((1-F$1)*D$1)-SUM(D$3:D181)+((F$1)*D$1))*(I182/12))</f>
        <v>2577.5728544693629</v>
      </c>
      <c r="F182" s="10">
        <f t="shared" si="14"/>
        <v>4209.0149683475756</v>
      </c>
      <c r="G182" s="10">
        <f t="shared" si="12"/>
        <v>1963.5</v>
      </c>
      <c r="H182" s="49"/>
      <c r="I182" s="19">
        <v>6.3E-2</v>
      </c>
    </row>
    <row r="183" spans="1:9" x14ac:dyDescent="0.25">
      <c r="A183" s="4">
        <f t="shared" si="11"/>
        <v>16</v>
      </c>
      <c r="B183" s="8">
        <f t="shared" si="15"/>
        <v>181</v>
      </c>
      <c r="C183" s="34">
        <f>SUM(D$3:D183)/D$1</f>
        <v>0.4262414015349294</v>
      </c>
      <c r="D183" s="10">
        <f t="shared" si="13"/>
        <v>1640.0071849760734</v>
      </c>
      <c r="E183" s="53">
        <f>((((1-F$1)*D$1)-SUM(D$3:D182)+((F$1)*D$1))*(I183/12))</f>
        <v>2569.0077833715022</v>
      </c>
      <c r="F183" s="10">
        <f t="shared" si="14"/>
        <v>4209.0149683475756</v>
      </c>
      <c r="G183" s="10">
        <f t="shared" si="12"/>
        <v>1963.5</v>
      </c>
      <c r="H183" s="49"/>
      <c r="I183" s="19">
        <v>6.3E-2</v>
      </c>
    </row>
    <row r="184" spans="1:9" x14ac:dyDescent="0.25">
      <c r="A184" s="4">
        <f t="shared" si="11"/>
        <v>16</v>
      </c>
      <c r="B184" s="8">
        <f t="shared" si="15"/>
        <v>182</v>
      </c>
      <c r="C184" s="34">
        <f>SUM(D$3:D184)/D$1</f>
        <v>0.42818095120869076</v>
      </c>
      <c r="D184" s="10">
        <f t="shared" si="13"/>
        <v>1648.617222697198</v>
      </c>
      <c r="E184" s="53">
        <f>((((1-F$1)*D$1)-SUM(D$3:D183)+((F$1)*D$1))*(I184/12))</f>
        <v>2560.3977456503776</v>
      </c>
      <c r="F184" s="10">
        <f t="shared" si="14"/>
        <v>4209.0149683475756</v>
      </c>
      <c r="G184" s="10">
        <f t="shared" si="12"/>
        <v>1963.5</v>
      </c>
      <c r="H184" s="49"/>
      <c r="I184" s="19">
        <v>6.3E-2</v>
      </c>
    </row>
    <row r="185" spans="1:9" x14ac:dyDescent="0.25">
      <c r="A185" s="4">
        <f t="shared" si="11"/>
        <v>16</v>
      </c>
      <c r="B185" s="8">
        <f t="shared" si="15"/>
        <v>183</v>
      </c>
      <c r="C185" s="34">
        <f>SUM(D$3:D185)/D$1</f>
        <v>0.43013068351823941</v>
      </c>
      <c r="D185" s="10">
        <f t="shared" si="13"/>
        <v>1657.2724631163578</v>
      </c>
      <c r="E185" s="53">
        <f>((((1-F$1)*D$1)-SUM(D$3:D184)+((F$1)*D$1))*(I185/12))</f>
        <v>2551.7425052312178</v>
      </c>
      <c r="F185" s="10">
        <f t="shared" si="14"/>
        <v>4209.0149683475756</v>
      </c>
      <c r="G185" s="10">
        <f t="shared" si="12"/>
        <v>1963.5</v>
      </c>
      <c r="H185" s="49"/>
      <c r="I185" s="19">
        <v>6.3E-2</v>
      </c>
    </row>
    <row r="186" spans="1:9" x14ac:dyDescent="0.25">
      <c r="A186" s="4">
        <f t="shared" si="11"/>
        <v>16</v>
      </c>
      <c r="B186" s="8">
        <f t="shared" si="15"/>
        <v>184</v>
      </c>
      <c r="C186" s="34">
        <f>SUM(D$3:D186)/D$1</f>
        <v>0.43209065192241319</v>
      </c>
      <c r="D186" s="10">
        <f t="shared" si="13"/>
        <v>1665.9731435477188</v>
      </c>
      <c r="E186" s="53">
        <f>((((1-F$1)*D$1)-SUM(D$3:D185)+((F$1)*D$1))*(I186/12))</f>
        <v>2543.0418247998568</v>
      </c>
      <c r="F186" s="10">
        <f t="shared" si="14"/>
        <v>4209.0149683475756</v>
      </c>
      <c r="G186" s="10">
        <f t="shared" si="12"/>
        <v>1963.5</v>
      </c>
      <c r="H186" s="49"/>
      <c r="I186" s="19">
        <v>6.3E-2</v>
      </c>
    </row>
    <row r="187" spans="1:9" x14ac:dyDescent="0.25">
      <c r="A187" s="4">
        <f t="shared" si="11"/>
        <v>16</v>
      </c>
      <c r="B187" s="8">
        <f t="shared" si="15"/>
        <v>185</v>
      </c>
      <c r="C187" s="34">
        <f>SUM(D$3:D187)/D$1</f>
        <v>0.43406091016070891</v>
      </c>
      <c r="D187" s="10">
        <f t="shared" si="13"/>
        <v>1674.7195025513442</v>
      </c>
      <c r="E187" s="53">
        <f>((((1-F$1)*D$1)-SUM(D$3:D186)+((F$1)*D$1))*(I187/12))</f>
        <v>2534.2954657962314</v>
      </c>
      <c r="F187" s="10">
        <f t="shared" si="14"/>
        <v>4209.0149683475756</v>
      </c>
      <c r="G187" s="10">
        <f t="shared" si="12"/>
        <v>1963.5</v>
      </c>
      <c r="H187" s="49"/>
      <c r="I187" s="19">
        <v>6.3E-2</v>
      </c>
    </row>
    <row r="188" spans="1:9" x14ac:dyDescent="0.25">
      <c r="A188" s="4">
        <f t="shared" si="11"/>
        <v>16</v>
      </c>
      <c r="B188" s="8">
        <f t="shared" si="15"/>
        <v>186</v>
      </c>
      <c r="C188" s="34">
        <f>SUM(D$3:D188)/D$1</f>
        <v>0.43604151225475568</v>
      </c>
      <c r="D188" s="10">
        <f t="shared" si="13"/>
        <v>1683.511779939739</v>
      </c>
      <c r="E188" s="53">
        <f>((((1-F$1)*D$1)-SUM(D$3:D187)+((F$1)*D$1))*(I188/12))</f>
        <v>2525.5031884078367</v>
      </c>
      <c r="F188" s="10">
        <f t="shared" si="14"/>
        <v>4209.0149683475756</v>
      </c>
      <c r="G188" s="10">
        <f t="shared" si="12"/>
        <v>1963.5</v>
      </c>
      <c r="H188" s="49"/>
      <c r="I188" s="19">
        <v>6.3E-2</v>
      </c>
    </row>
    <row r="189" spans="1:9" x14ac:dyDescent="0.25">
      <c r="A189" s="4">
        <f t="shared" si="11"/>
        <v>16</v>
      </c>
      <c r="B189" s="8">
        <f t="shared" si="15"/>
        <v>187</v>
      </c>
      <c r="C189" s="34">
        <f>SUM(D$3:D189)/D$1</f>
        <v>0.43803251250979613</v>
      </c>
      <c r="D189" s="10">
        <f t="shared" si="13"/>
        <v>1692.3502167844226</v>
      </c>
      <c r="E189" s="53">
        <f>((((1-F$1)*D$1)-SUM(D$3:D188)+((F$1)*D$1))*(I189/12))</f>
        <v>2516.664751563153</v>
      </c>
      <c r="F189" s="10">
        <f t="shared" si="14"/>
        <v>4209.0149683475756</v>
      </c>
      <c r="G189" s="10">
        <f t="shared" si="12"/>
        <v>1963.5</v>
      </c>
      <c r="H189" s="49"/>
      <c r="I189" s="19">
        <v>6.3E-2</v>
      </c>
    </row>
    <row r="190" spans="1:9" x14ac:dyDescent="0.25">
      <c r="A190" s="4">
        <f t="shared" si="11"/>
        <v>16</v>
      </c>
      <c r="B190" s="8">
        <f t="shared" si="15"/>
        <v>188</v>
      </c>
      <c r="C190" s="34">
        <f>SUM(D$3:D190)/D$1</f>
        <v>0.44003396551617557</v>
      </c>
      <c r="D190" s="10">
        <f t="shared" si="13"/>
        <v>1701.2350554225409</v>
      </c>
      <c r="E190" s="53">
        <f>((((1-F$1)*D$1)-SUM(D$3:D189)+((F$1)*D$1))*(I190/12))</f>
        <v>2507.7799129250348</v>
      </c>
      <c r="F190" s="10">
        <f t="shared" si="14"/>
        <v>4209.0149683475756</v>
      </c>
      <c r="G190" s="10">
        <f t="shared" si="12"/>
        <v>1963.5</v>
      </c>
      <c r="H190" s="49"/>
      <c r="I190" s="19">
        <v>6.3E-2</v>
      </c>
    </row>
    <row r="191" spans="1:9" x14ac:dyDescent="0.25">
      <c r="A191" s="4">
        <f t="shared" si="11"/>
        <v>16</v>
      </c>
      <c r="B191" s="8">
        <f t="shared" si="15"/>
        <v>189</v>
      </c>
      <c r="C191" s="34">
        <f>SUM(D$3:D191)/D$1</f>
        <v>0.44204592615083854</v>
      </c>
      <c r="D191" s="10">
        <f t="shared" si="13"/>
        <v>1710.1665394635088</v>
      </c>
      <c r="E191" s="53">
        <f>((((1-F$1)*D$1)-SUM(D$3:D190)+((F$1)*D$1))*(I191/12))</f>
        <v>2498.8484288840668</v>
      </c>
      <c r="F191" s="10">
        <f t="shared" si="14"/>
        <v>4209.0149683475756</v>
      </c>
      <c r="G191" s="10">
        <f t="shared" si="12"/>
        <v>1963.5</v>
      </c>
      <c r="H191" s="49"/>
      <c r="I191" s="19">
        <v>6.3E-2</v>
      </c>
    </row>
    <row r="192" spans="1:9" x14ac:dyDescent="0.25">
      <c r="A192" s="4">
        <f t="shared" si="11"/>
        <v>16</v>
      </c>
      <c r="B192" s="8">
        <f t="shared" si="15"/>
        <v>190</v>
      </c>
      <c r="C192" s="34">
        <f>SUM(D$3:D192)/D$1</f>
        <v>0.44406844957883346</v>
      </c>
      <c r="D192" s="10">
        <f t="shared" si="13"/>
        <v>1719.1449137956924</v>
      </c>
      <c r="E192" s="53">
        <f>((((1-F$1)*D$1)-SUM(D$3:D191)+((F$1)*D$1))*(I192/12))</f>
        <v>2489.8700545518832</v>
      </c>
      <c r="F192" s="10">
        <f t="shared" si="14"/>
        <v>4209.0149683475756</v>
      </c>
      <c r="G192" s="10">
        <f t="shared" si="12"/>
        <v>1963.5</v>
      </c>
      <c r="H192" s="49"/>
      <c r="I192" s="19">
        <v>6.3E-2</v>
      </c>
    </row>
    <row r="193" spans="1:9" x14ac:dyDescent="0.25">
      <c r="A193" s="4">
        <f t="shared" si="11"/>
        <v>16</v>
      </c>
      <c r="B193" s="8">
        <f t="shared" si="15"/>
        <v>191</v>
      </c>
      <c r="C193" s="34">
        <f>SUM(D$3:D193)/D$1</f>
        <v>0.4461015912548254</v>
      </c>
      <c r="D193" s="10">
        <f t="shared" si="13"/>
        <v>1728.1704245931196</v>
      </c>
      <c r="E193" s="53">
        <f>((((1-F$1)*D$1)-SUM(D$3:D192)+((F$1)*D$1))*(I193/12))</f>
        <v>2480.844543754456</v>
      </c>
      <c r="F193" s="10">
        <f t="shared" si="14"/>
        <v>4209.0149683475756</v>
      </c>
      <c r="G193" s="10">
        <f t="shared" si="12"/>
        <v>1963.5</v>
      </c>
      <c r="H193" s="49"/>
      <c r="I193" s="19">
        <v>6.3E-2</v>
      </c>
    </row>
    <row r="194" spans="1:9" x14ac:dyDescent="0.25">
      <c r="A194" s="4">
        <f t="shared" si="11"/>
        <v>16</v>
      </c>
      <c r="B194" s="8">
        <f t="shared" si="15"/>
        <v>192</v>
      </c>
      <c r="C194" s="34">
        <f>SUM(D$3:D194)/D$1</f>
        <v>0.4481454069246163</v>
      </c>
      <c r="D194" s="10">
        <f t="shared" si="13"/>
        <v>1737.2433193222337</v>
      </c>
      <c r="E194" s="53">
        <f>((((1-F$1)*D$1)-SUM(D$3:D193)+((F$1)*D$1))*(I194/12))</f>
        <v>2471.771649025342</v>
      </c>
      <c r="F194" s="10">
        <f t="shared" si="14"/>
        <v>4209.0149683475756</v>
      </c>
      <c r="G194" s="10">
        <f t="shared" si="12"/>
        <v>1963.5</v>
      </c>
      <c r="H194" s="49"/>
      <c r="I194" s="19">
        <v>6.3E-2</v>
      </c>
    </row>
    <row r="195" spans="1:9" x14ac:dyDescent="0.25">
      <c r="A195" s="4">
        <f t="shared" si="11"/>
        <v>17</v>
      </c>
      <c r="B195" s="8">
        <f t="shared" si="15"/>
        <v>193</v>
      </c>
      <c r="C195" s="34">
        <f>SUM(D$3:D195)/D$1</f>
        <v>0.45019995262667351</v>
      </c>
      <c r="D195" s="10">
        <f t="shared" si="13"/>
        <v>1746.3638467486758</v>
      </c>
      <c r="E195" s="53">
        <f>((((1-F$1)*D$1)-SUM(D$3:D194)+((F$1)*D$1))*(I195/12))</f>
        <v>2462.6511215988999</v>
      </c>
      <c r="F195" s="10">
        <f t="shared" si="14"/>
        <v>4209.0149683475756</v>
      </c>
      <c r="G195" s="10">
        <f t="shared" si="12"/>
        <v>1963.5</v>
      </c>
      <c r="H195" s="49"/>
      <c r="I195" s="19">
        <v>6.3E-2</v>
      </c>
    </row>
    <row r="196" spans="1:9" x14ac:dyDescent="0.25">
      <c r="A196" s="4">
        <f t="shared" ref="A196:A259" si="16">ROUNDUP(B196/12,0)</f>
        <v>17</v>
      </c>
      <c r="B196" s="8">
        <f t="shared" si="15"/>
        <v>194</v>
      </c>
      <c r="C196" s="34">
        <f>SUM(D$3:D196)/D$1</f>
        <v>0.45226528469366656</v>
      </c>
      <c r="D196" s="10">
        <f t="shared" si="13"/>
        <v>1755.5322569441059</v>
      </c>
      <c r="E196" s="53">
        <f>((((1-F$1)*D$1)-SUM(D$3:D195)+((F$1)*D$1))*(I196/12))</f>
        <v>2453.4827114034697</v>
      </c>
      <c r="F196" s="10">
        <f t="shared" si="14"/>
        <v>4209.0149683475756</v>
      </c>
      <c r="G196" s="10">
        <f t="shared" ref="G196:G259" si="17">(9800+11262+2500)/12</f>
        <v>1963.5</v>
      </c>
      <c r="H196" s="49"/>
      <c r="I196" s="19">
        <v>6.3E-2</v>
      </c>
    </row>
    <row r="197" spans="1:9" x14ac:dyDescent="0.25">
      <c r="A197" s="4">
        <f t="shared" si="16"/>
        <v>17</v>
      </c>
      <c r="B197" s="8">
        <f t="shared" si="15"/>
        <v>195</v>
      </c>
      <c r="C197" s="34">
        <f>SUM(D$3:D197)/D$1</f>
        <v>0.45434145975401141</v>
      </c>
      <c r="D197" s="10">
        <f t="shared" ref="D197:D260" si="18">F197-E197</f>
        <v>1764.7488012930626</v>
      </c>
      <c r="E197" s="53">
        <f>((((1-F$1)*D$1)-SUM(D$3:D196)+((F$1)*D$1))*(I197/12))</f>
        <v>2444.2661670545131</v>
      </c>
      <c r="F197" s="10">
        <f t="shared" ref="F197:F260" si="19">((1-F$1)*D$1)*(((I197/12)*((1+(I197/12))^(12*30)))/(((1+(I197/12))^(12*30))-1))</f>
        <v>4209.0149683475756</v>
      </c>
      <c r="G197" s="10">
        <f t="shared" si="17"/>
        <v>1963.5</v>
      </c>
      <c r="H197" s="49"/>
      <c r="I197" s="19">
        <v>6.3E-2</v>
      </c>
    </row>
    <row r="198" spans="1:9" x14ac:dyDescent="0.25">
      <c r="A198" s="4">
        <f t="shared" si="16"/>
        <v>17</v>
      </c>
      <c r="B198" s="8">
        <f t="shared" si="15"/>
        <v>196</v>
      </c>
      <c r="C198" s="34">
        <f>SUM(D$3:D198)/D$1</f>
        <v>0.45642853473342299</v>
      </c>
      <c r="D198" s="10">
        <f t="shared" si="18"/>
        <v>1774.0137324998514</v>
      </c>
      <c r="E198" s="53">
        <f>((((1-F$1)*D$1)-SUM(D$3:D197)+((F$1)*D$1))*(I198/12))</f>
        <v>2435.0012358477243</v>
      </c>
      <c r="F198" s="10">
        <f t="shared" si="19"/>
        <v>4209.0149683475756</v>
      </c>
      <c r="G198" s="10">
        <f t="shared" si="17"/>
        <v>1963.5</v>
      </c>
      <c r="H198" s="49"/>
      <c r="I198" s="19">
        <v>6.3E-2</v>
      </c>
    </row>
    <row r="199" spans="1:9" x14ac:dyDescent="0.25">
      <c r="A199" s="4">
        <f t="shared" si="16"/>
        <v>17</v>
      </c>
      <c r="B199" s="8">
        <f t="shared" si="15"/>
        <v>197</v>
      </c>
      <c r="C199" s="34">
        <f>SUM(D$3:D199)/D$1</f>
        <v>0.45852656685647653</v>
      </c>
      <c r="D199" s="10">
        <f t="shared" si="18"/>
        <v>1783.3273045954757</v>
      </c>
      <c r="E199" s="53">
        <f>((((1-F$1)*D$1)-SUM(D$3:D198)+((F$1)*D$1))*(I199/12))</f>
        <v>2425.6876637521</v>
      </c>
      <c r="F199" s="10">
        <f t="shared" si="19"/>
        <v>4209.0149683475756</v>
      </c>
      <c r="G199" s="10">
        <f t="shared" si="17"/>
        <v>1963.5</v>
      </c>
      <c r="H199" s="49"/>
      <c r="I199" s="19">
        <v>6.3E-2</v>
      </c>
    </row>
    <row r="200" spans="1:9" x14ac:dyDescent="0.25">
      <c r="A200" s="4">
        <f t="shared" si="16"/>
        <v>17</v>
      </c>
      <c r="B200" s="8">
        <f t="shared" si="15"/>
        <v>198</v>
      </c>
      <c r="C200" s="34">
        <f>SUM(D$3:D200)/D$1</f>
        <v>0.46063561364817607</v>
      </c>
      <c r="D200" s="10">
        <f t="shared" si="18"/>
        <v>1792.6897729446018</v>
      </c>
      <c r="E200" s="53">
        <f>((((1-F$1)*D$1)-SUM(D$3:D199)+((F$1)*D$1))*(I200/12))</f>
        <v>2416.3251954029738</v>
      </c>
      <c r="F200" s="10">
        <f t="shared" si="19"/>
        <v>4209.0149683475756</v>
      </c>
      <c r="G200" s="10">
        <f t="shared" si="17"/>
        <v>1963.5</v>
      </c>
      <c r="H200" s="49"/>
      <c r="I200" s="19">
        <v>6.3E-2</v>
      </c>
    </row>
    <row r="201" spans="1:9" x14ac:dyDescent="0.25">
      <c r="A201" s="4">
        <f t="shared" si="16"/>
        <v>17</v>
      </c>
      <c r="B201" s="8">
        <f t="shared" si="15"/>
        <v>199</v>
      </c>
      <c r="C201" s="34">
        <f>SUM(D$3:D201)/D$1</f>
        <v>0.46275573293553202</v>
      </c>
      <c r="D201" s="10">
        <f t="shared" si="18"/>
        <v>1802.101394252561</v>
      </c>
      <c r="E201" s="53">
        <f>((((1-F$1)*D$1)-SUM(D$3:D200)+((F$1)*D$1))*(I201/12))</f>
        <v>2406.9135740950146</v>
      </c>
      <c r="F201" s="10">
        <f t="shared" si="19"/>
        <v>4209.0149683475756</v>
      </c>
      <c r="G201" s="10">
        <f t="shared" si="17"/>
        <v>1963.5</v>
      </c>
      <c r="H201" s="49"/>
      <c r="I201" s="19">
        <v>6.3E-2</v>
      </c>
    </row>
    <row r="202" spans="1:9" x14ac:dyDescent="0.25">
      <c r="A202" s="4">
        <f t="shared" si="16"/>
        <v>17</v>
      </c>
      <c r="B202" s="8">
        <f t="shared" si="15"/>
        <v>200</v>
      </c>
      <c r="C202" s="34">
        <f>SUM(D$3:D202)/D$1</f>
        <v>0.46488698284914654</v>
      </c>
      <c r="D202" s="10">
        <f t="shared" si="18"/>
        <v>1811.5624265723868</v>
      </c>
      <c r="E202" s="53">
        <f>((((1-F$1)*D$1)-SUM(D$3:D201)+((F$1)*D$1))*(I202/12))</f>
        <v>2397.4525417751888</v>
      </c>
      <c r="F202" s="10">
        <f t="shared" si="19"/>
        <v>4209.0149683475756</v>
      </c>
      <c r="G202" s="10">
        <f t="shared" si="17"/>
        <v>1963.5</v>
      </c>
      <c r="H202" s="49"/>
      <c r="I202" s="19">
        <v>6.3E-2</v>
      </c>
    </row>
    <row r="203" spans="1:9" x14ac:dyDescent="0.25">
      <c r="A203" s="4">
        <f t="shared" si="16"/>
        <v>17</v>
      </c>
      <c r="B203" s="8">
        <f t="shared" si="15"/>
        <v>201</v>
      </c>
      <c r="C203" s="34">
        <f>SUM(D$3:D203)/D$1</f>
        <v>0.46702942182480761</v>
      </c>
      <c r="D203" s="10">
        <f t="shared" si="18"/>
        <v>1821.073129311892</v>
      </c>
      <c r="E203" s="53">
        <f>((((1-F$1)*D$1)-SUM(D$3:D202)+((F$1)*D$1))*(I203/12))</f>
        <v>2387.9418390356836</v>
      </c>
      <c r="F203" s="10">
        <f t="shared" si="19"/>
        <v>4209.0149683475756</v>
      </c>
      <c r="G203" s="10">
        <f t="shared" si="17"/>
        <v>1963.5</v>
      </c>
      <c r="H203" s="49"/>
      <c r="I203" s="19">
        <v>6.3E-2</v>
      </c>
    </row>
    <row r="204" spans="1:9" x14ac:dyDescent="0.25">
      <c r="A204" s="4">
        <f t="shared" si="16"/>
        <v>17</v>
      </c>
      <c r="B204" s="8">
        <f t="shared" si="15"/>
        <v>202</v>
      </c>
      <c r="C204" s="34">
        <f>SUM(D$3:D204)/D$1</f>
        <v>0.46918310860509088</v>
      </c>
      <c r="D204" s="10">
        <f t="shared" si="18"/>
        <v>1830.6337632407794</v>
      </c>
      <c r="E204" s="53">
        <f>((((1-F$1)*D$1)-SUM(D$3:D203)+((F$1)*D$1))*(I204/12))</f>
        <v>2378.3812051067962</v>
      </c>
      <c r="F204" s="10">
        <f t="shared" si="19"/>
        <v>4209.0149683475756</v>
      </c>
      <c r="G204" s="10">
        <f t="shared" si="17"/>
        <v>1963.5</v>
      </c>
      <c r="H204" s="49"/>
      <c r="I204" s="19">
        <v>6.3E-2</v>
      </c>
    </row>
    <row r="205" spans="1:9" x14ac:dyDescent="0.25">
      <c r="A205" s="4">
        <f t="shared" si="16"/>
        <v>17</v>
      </c>
      <c r="B205" s="8">
        <f t="shared" si="15"/>
        <v>203</v>
      </c>
      <c r="C205" s="34">
        <f>SUM(D$3:D205)/D$1</f>
        <v>0.47134810224097062</v>
      </c>
      <c r="D205" s="10">
        <f t="shared" si="18"/>
        <v>1840.2445904977935</v>
      </c>
      <c r="E205" s="53">
        <f>((((1-F$1)*D$1)-SUM(D$3:D204)+((F$1)*D$1))*(I205/12))</f>
        <v>2368.7703778497821</v>
      </c>
      <c r="F205" s="10">
        <f t="shared" si="19"/>
        <v>4209.0149683475756</v>
      </c>
      <c r="G205" s="10">
        <f t="shared" si="17"/>
        <v>1963.5</v>
      </c>
      <c r="H205" s="49"/>
      <c r="I205" s="19">
        <v>6.3E-2</v>
      </c>
    </row>
    <row r="206" spans="1:9" x14ac:dyDescent="0.25">
      <c r="A206" s="4">
        <f t="shared" si="16"/>
        <v>17</v>
      </c>
      <c r="B206" s="8">
        <f t="shared" si="15"/>
        <v>204</v>
      </c>
      <c r="C206" s="34">
        <f>SUM(D$3:D206)/D$1</f>
        <v>0.47352446209343874</v>
      </c>
      <c r="D206" s="10">
        <f t="shared" si="18"/>
        <v>1849.9058745979069</v>
      </c>
      <c r="E206" s="53">
        <f>((((1-F$1)*D$1)-SUM(D$3:D205)+((F$1)*D$1))*(I206/12))</f>
        <v>2359.1090937496688</v>
      </c>
      <c r="F206" s="10">
        <f t="shared" si="19"/>
        <v>4209.0149683475756</v>
      </c>
      <c r="G206" s="10">
        <f t="shared" si="17"/>
        <v>1963.5</v>
      </c>
      <c r="H206" s="49"/>
      <c r="I206" s="19">
        <v>6.3E-2</v>
      </c>
    </row>
    <row r="207" spans="1:9" x14ac:dyDescent="0.25">
      <c r="A207" s="4">
        <f t="shared" si="16"/>
        <v>18</v>
      </c>
      <c r="B207" s="8">
        <f t="shared" si="15"/>
        <v>205</v>
      </c>
      <c r="C207" s="34">
        <f>SUM(D$3:D207)/D$1</f>
        <v>0.47571224783513238</v>
      </c>
      <c r="D207" s="10">
        <f t="shared" si="18"/>
        <v>1859.6178804395458</v>
      </c>
      <c r="E207" s="53">
        <f>((((1-F$1)*D$1)-SUM(D$3:D206)+((F$1)*D$1))*(I207/12))</f>
        <v>2349.3970879080298</v>
      </c>
      <c r="F207" s="10">
        <f t="shared" si="19"/>
        <v>4209.0149683475756</v>
      </c>
      <c r="G207" s="10">
        <f t="shared" si="17"/>
        <v>1963.5</v>
      </c>
      <c r="H207" s="49"/>
      <c r="I207" s="19">
        <v>6.3E-2</v>
      </c>
    </row>
    <row r="208" spans="1:9" x14ac:dyDescent="0.25">
      <c r="A208" s="4">
        <f t="shared" si="16"/>
        <v>18</v>
      </c>
      <c r="B208" s="8">
        <f t="shared" si="15"/>
        <v>206</v>
      </c>
      <c r="C208" s="34">
        <f>SUM(D$3:D208)/D$1</f>
        <v>0.4779115194519698</v>
      </c>
      <c r="D208" s="10">
        <f t="shared" si="18"/>
        <v>1869.3808743118539</v>
      </c>
      <c r="E208" s="53">
        <f>((((1-F$1)*D$1)-SUM(D$3:D207)+((F$1)*D$1))*(I208/12))</f>
        <v>2339.6340940357218</v>
      </c>
      <c r="F208" s="10">
        <f t="shared" si="19"/>
        <v>4209.0149683475756</v>
      </c>
      <c r="G208" s="10">
        <f t="shared" si="17"/>
        <v>1963.5</v>
      </c>
      <c r="H208" s="49"/>
      <c r="I208" s="19">
        <v>6.3E-2</v>
      </c>
    </row>
    <row r="209" spans="1:9" x14ac:dyDescent="0.25">
      <c r="A209" s="4">
        <f t="shared" si="16"/>
        <v>18</v>
      </c>
      <c r="B209" s="8">
        <f t="shared" si="15"/>
        <v>207</v>
      </c>
      <c r="C209" s="34">
        <f>SUM(D$3:D209)/D$1</f>
        <v>0.48012233724479569</v>
      </c>
      <c r="D209" s="10">
        <f t="shared" si="18"/>
        <v>1879.1951239019909</v>
      </c>
      <c r="E209" s="53">
        <f>((((1-F$1)*D$1)-SUM(D$3:D208)+((F$1)*D$1))*(I209/12))</f>
        <v>2329.8198444455847</v>
      </c>
      <c r="F209" s="10">
        <f t="shared" si="19"/>
        <v>4209.0149683475756</v>
      </c>
      <c r="G209" s="10">
        <f t="shared" si="17"/>
        <v>1963.5</v>
      </c>
      <c r="H209" s="49"/>
      <c r="I209" s="19">
        <v>6.3E-2</v>
      </c>
    </row>
    <row r="210" spans="1:9" x14ac:dyDescent="0.25">
      <c r="A210" s="4">
        <f t="shared" si="16"/>
        <v>18</v>
      </c>
      <c r="B210" s="8">
        <f t="shared" si="15"/>
        <v>208</v>
      </c>
      <c r="C210" s="34">
        <f>SUM(D$3:D210)/D$1</f>
        <v>0.48234476183103392</v>
      </c>
      <c r="D210" s="10">
        <f t="shared" si="18"/>
        <v>1889.0608983024763</v>
      </c>
      <c r="E210" s="53">
        <f>((((1-F$1)*D$1)-SUM(D$3:D209)+((F$1)*D$1))*(I210/12))</f>
        <v>2319.9540700450993</v>
      </c>
      <c r="F210" s="10">
        <f t="shared" si="19"/>
        <v>4209.0149683475756</v>
      </c>
      <c r="G210" s="10">
        <f t="shared" si="17"/>
        <v>1963.5</v>
      </c>
      <c r="H210" s="49"/>
      <c r="I210" s="19">
        <v>6.3E-2</v>
      </c>
    </row>
    <row r="211" spans="1:9" x14ac:dyDescent="0.25">
      <c r="A211" s="4">
        <f t="shared" si="16"/>
        <v>18</v>
      </c>
      <c r="B211" s="8">
        <f t="shared" si="15"/>
        <v>209</v>
      </c>
      <c r="C211" s="34">
        <f>SUM(D$3:D211)/D$1</f>
        <v>0.48457885414634988</v>
      </c>
      <c r="D211" s="10">
        <f t="shared" si="18"/>
        <v>1898.9784680185644</v>
      </c>
      <c r="E211" s="53">
        <f>((((1-F$1)*D$1)-SUM(D$3:D210)+((F$1)*D$1))*(I211/12))</f>
        <v>2310.0365003290112</v>
      </c>
      <c r="F211" s="10">
        <f t="shared" si="19"/>
        <v>4209.0149683475756</v>
      </c>
      <c r="G211" s="10">
        <f t="shared" si="17"/>
        <v>1963.5</v>
      </c>
      <c r="H211" s="49"/>
      <c r="I211" s="19">
        <v>6.3E-2</v>
      </c>
    </row>
    <row r="212" spans="1:9" x14ac:dyDescent="0.25">
      <c r="A212" s="4">
        <f t="shared" si="16"/>
        <v>18</v>
      </c>
      <c r="B212" s="8">
        <f t="shared" si="15"/>
        <v>210</v>
      </c>
      <c r="C212" s="34">
        <f>SUM(D$3:D212)/D$1</f>
        <v>0.4868246754463213</v>
      </c>
      <c r="D212" s="10">
        <f t="shared" si="18"/>
        <v>1908.9481049756619</v>
      </c>
      <c r="E212" s="53">
        <f>((((1-F$1)*D$1)-SUM(D$3:D211)+((F$1)*D$1))*(I212/12))</f>
        <v>2300.0668633719138</v>
      </c>
      <c r="F212" s="10">
        <f t="shared" si="19"/>
        <v>4209.0149683475756</v>
      </c>
      <c r="G212" s="10">
        <f t="shared" si="17"/>
        <v>1963.5</v>
      </c>
      <c r="H212" s="49"/>
      <c r="I212" s="19">
        <v>6.3E-2</v>
      </c>
    </row>
    <row r="213" spans="1:9" x14ac:dyDescent="0.25">
      <c r="A213" s="4">
        <f t="shared" si="16"/>
        <v>18</v>
      </c>
      <c r="B213" s="8">
        <f t="shared" si="15"/>
        <v>211</v>
      </c>
      <c r="C213" s="34">
        <f>SUM(D$3:D213)/D$1</f>
        <v>0.48908228730811754</v>
      </c>
      <c r="D213" s="10">
        <f t="shared" si="18"/>
        <v>1918.9700825267842</v>
      </c>
      <c r="E213" s="53">
        <f>((((1-F$1)*D$1)-SUM(D$3:D212)+((F$1)*D$1))*(I213/12))</f>
        <v>2290.0448858207915</v>
      </c>
      <c r="F213" s="10">
        <f t="shared" si="19"/>
        <v>4209.0149683475756</v>
      </c>
      <c r="G213" s="10">
        <f t="shared" si="17"/>
        <v>1963.5</v>
      </c>
      <c r="H213" s="49"/>
      <c r="I213" s="19">
        <v>6.3E-2</v>
      </c>
    </row>
    <row r="214" spans="1:9" x14ac:dyDescent="0.25">
      <c r="A214" s="4">
        <f t="shared" si="16"/>
        <v>18</v>
      </c>
      <c r="B214" s="8">
        <f t="shared" si="15"/>
        <v>212</v>
      </c>
      <c r="C214" s="34">
        <f>SUM(D$3:D214)/D$1</f>
        <v>0.49135175163218814</v>
      </c>
      <c r="D214" s="10">
        <f t="shared" si="18"/>
        <v>1929.0446754600498</v>
      </c>
      <c r="E214" s="53">
        <f>((((1-F$1)*D$1)-SUM(D$3:D213)+((F$1)*D$1))*(I214/12))</f>
        <v>2279.9702928875258</v>
      </c>
      <c r="F214" s="10">
        <f t="shared" si="19"/>
        <v>4209.0149683475756</v>
      </c>
      <c r="G214" s="10">
        <f t="shared" si="17"/>
        <v>1963.5</v>
      </c>
      <c r="H214" s="49"/>
      <c r="I214" s="19">
        <v>6.3E-2</v>
      </c>
    </row>
    <row r="215" spans="1:9" x14ac:dyDescent="0.25">
      <c r="A215" s="4">
        <f t="shared" si="16"/>
        <v>18</v>
      </c>
      <c r="B215" s="8">
        <f t="shared" si="15"/>
        <v>213</v>
      </c>
      <c r="C215" s="34">
        <f>SUM(D$3:D215)/D$1</f>
        <v>0.49363313064396014</v>
      </c>
      <c r="D215" s="10">
        <f t="shared" si="18"/>
        <v>1939.1721600062151</v>
      </c>
      <c r="E215" s="53">
        <f>((((1-F$1)*D$1)-SUM(D$3:D214)+((F$1)*D$1))*(I215/12))</f>
        <v>2269.8428083413605</v>
      </c>
      <c r="F215" s="10">
        <f t="shared" si="19"/>
        <v>4209.0149683475756</v>
      </c>
      <c r="G215" s="10">
        <f t="shared" si="17"/>
        <v>1963.5</v>
      </c>
      <c r="H215" s="49"/>
      <c r="I215" s="19">
        <v>6.3E-2</v>
      </c>
    </row>
    <row r="216" spans="1:9" x14ac:dyDescent="0.25">
      <c r="A216" s="4">
        <f t="shared" si="16"/>
        <v>18</v>
      </c>
      <c r="B216" s="8">
        <f t="shared" si="15"/>
        <v>214</v>
      </c>
      <c r="C216" s="34">
        <f>SUM(D$3:D216)/D$1</f>
        <v>0.49592648689554397</v>
      </c>
      <c r="D216" s="10">
        <f t="shared" si="18"/>
        <v>1949.3528138462475</v>
      </c>
      <c r="E216" s="53">
        <f>((((1-F$1)*D$1)-SUM(D$3:D215)+((F$1)*D$1))*(I216/12))</f>
        <v>2259.6621545013281</v>
      </c>
      <c r="F216" s="10">
        <f t="shared" si="19"/>
        <v>4209.0149683475756</v>
      </c>
      <c r="G216" s="10">
        <f t="shared" si="17"/>
        <v>1963.5</v>
      </c>
      <c r="H216" s="49"/>
      <c r="I216" s="19">
        <v>6.3E-2</v>
      </c>
    </row>
    <row r="217" spans="1:9" x14ac:dyDescent="0.25">
      <c r="A217" s="4">
        <f t="shared" si="16"/>
        <v>18</v>
      </c>
      <c r="B217" s="8">
        <f t="shared" si="15"/>
        <v>215</v>
      </c>
      <c r="C217" s="34">
        <f>SUM(D$3:D217)/D$1</f>
        <v>0.49823188326744855</v>
      </c>
      <c r="D217" s="10">
        <f t="shared" si="18"/>
        <v>1959.5869161189403</v>
      </c>
      <c r="E217" s="53">
        <f>((((1-F$1)*D$1)-SUM(D$3:D216)+((F$1)*D$1))*(I217/12))</f>
        <v>2249.4280522286354</v>
      </c>
      <c r="F217" s="10">
        <f t="shared" si="19"/>
        <v>4209.0149683475756</v>
      </c>
      <c r="G217" s="10">
        <f t="shared" si="17"/>
        <v>1963.5</v>
      </c>
      <c r="H217" s="49"/>
      <c r="I217" s="19">
        <v>6.3E-2</v>
      </c>
    </row>
    <row r="218" spans="1:9" x14ac:dyDescent="0.25">
      <c r="A218" s="4">
        <f t="shared" si="16"/>
        <v>18</v>
      </c>
      <c r="B218" s="8">
        <f t="shared" si="15"/>
        <v>216</v>
      </c>
      <c r="C218" s="34">
        <f>SUM(D$3:D218)/D$1</f>
        <v>0.50054938297030571</v>
      </c>
      <c r="D218" s="10">
        <f t="shared" si="18"/>
        <v>1969.8747474285647</v>
      </c>
      <c r="E218" s="53">
        <f>((((1-F$1)*D$1)-SUM(D$3:D217)+((F$1)*D$1))*(I218/12))</f>
        <v>2239.140220919011</v>
      </c>
      <c r="F218" s="10">
        <f t="shared" si="19"/>
        <v>4209.0149683475756</v>
      </c>
      <c r="G218" s="10">
        <f t="shared" si="17"/>
        <v>1963.5</v>
      </c>
      <c r="H218" s="49"/>
      <c r="I218" s="19">
        <v>6.3E-2</v>
      </c>
    </row>
    <row r="219" spans="1:9" x14ac:dyDescent="0.25">
      <c r="A219" s="4">
        <f t="shared" si="16"/>
        <v>19</v>
      </c>
      <c r="B219" s="8">
        <f t="shared" si="15"/>
        <v>217</v>
      </c>
      <c r="C219" s="34">
        <f>SUM(D$3:D219)/D$1</f>
        <v>0.5028790495466029</v>
      </c>
      <c r="D219" s="10">
        <f t="shared" si="18"/>
        <v>1980.2165898525645</v>
      </c>
      <c r="E219" s="53">
        <f>((((1-F$1)*D$1)-SUM(D$3:D218)+((F$1)*D$1))*(I219/12))</f>
        <v>2228.7983784950111</v>
      </c>
      <c r="F219" s="10">
        <f t="shared" si="19"/>
        <v>4209.0149683475756</v>
      </c>
      <c r="G219" s="10">
        <f t="shared" si="17"/>
        <v>1963.5</v>
      </c>
      <c r="H219" s="49"/>
      <c r="I219" s="19">
        <v>6.3E-2</v>
      </c>
    </row>
    <row r="220" spans="1:9" x14ac:dyDescent="0.25">
      <c r="A220" s="4">
        <f t="shared" si="16"/>
        <v>19</v>
      </c>
      <c r="B220" s="8">
        <f t="shared" si="15"/>
        <v>218</v>
      </c>
      <c r="C220" s="34">
        <f>SUM(D$3:D220)/D$1</f>
        <v>0.50522094687242558</v>
      </c>
      <c r="D220" s="10">
        <f t="shared" si="18"/>
        <v>1990.6127269492908</v>
      </c>
      <c r="E220" s="53">
        <f>((((1-F$1)*D$1)-SUM(D$3:D219)+((F$1)*D$1))*(I220/12))</f>
        <v>2218.4022413982848</v>
      </c>
      <c r="F220" s="10">
        <f t="shared" si="19"/>
        <v>4209.0149683475756</v>
      </c>
      <c r="G220" s="10">
        <f t="shared" si="17"/>
        <v>1963.5</v>
      </c>
      <c r="H220" s="49"/>
      <c r="I220" s="19">
        <v>6.3E-2</v>
      </c>
    </row>
    <row r="221" spans="1:9" x14ac:dyDescent="0.25">
      <c r="A221" s="4">
        <f t="shared" si="16"/>
        <v>19</v>
      </c>
      <c r="B221" s="8">
        <f t="shared" si="15"/>
        <v>219</v>
      </c>
      <c r="C221" s="34">
        <f>SUM(D$3:D221)/D$1</f>
        <v>0.50757513915920882</v>
      </c>
      <c r="D221" s="10">
        <f t="shared" si="18"/>
        <v>2001.0634437657745</v>
      </c>
      <c r="E221" s="53">
        <f>((((1-F$1)*D$1)-SUM(D$3:D220)+((F$1)*D$1))*(I221/12))</f>
        <v>2207.9515245818011</v>
      </c>
      <c r="F221" s="10">
        <f t="shared" si="19"/>
        <v>4209.0149683475756</v>
      </c>
      <c r="G221" s="10">
        <f t="shared" si="17"/>
        <v>1963.5</v>
      </c>
      <c r="H221" s="49"/>
      <c r="I221" s="19">
        <v>6.3E-2</v>
      </c>
    </row>
    <row r="222" spans="1:9" x14ac:dyDescent="0.25">
      <c r="A222" s="4">
        <f t="shared" si="16"/>
        <v>19</v>
      </c>
      <c r="B222" s="8">
        <f t="shared" si="15"/>
        <v>220</v>
      </c>
      <c r="C222" s="34">
        <f>SUM(D$3:D222)/D$1</f>
        <v>0.50994169095549768</v>
      </c>
      <c r="D222" s="10">
        <f t="shared" si="18"/>
        <v>2011.5690268455451</v>
      </c>
      <c r="E222" s="53">
        <f>((((1-F$1)*D$1)-SUM(D$3:D221)+((F$1)*D$1))*(I222/12))</f>
        <v>2197.4459415020306</v>
      </c>
      <c r="F222" s="10">
        <f t="shared" si="19"/>
        <v>4209.0149683475756</v>
      </c>
      <c r="G222" s="10">
        <f t="shared" si="17"/>
        <v>1963.5</v>
      </c>
      <c r="H222" s="49"/>
      <c r="I222" s="19">
        <v>6.3E-2</v>
      </c>
    </row>
    <row r="223" spans="1:9" x14ac:dyDescent="0.25">
      <c r="A223" s="4">
        <f t="shared" si="16"/>
        <v>19</v>
      </c>
      <c r="B223" s="8">
        <f t="shared" si="15"/>
        <v>221</v>
      </c>
      <c r="C223" s="34">
        <f>SUM(D$3:D223)/D$1</f>
        <v>0.51232066714871716</v>
      </c>
      <c r="D223" s="10">
        <f t="shared" si="18"/>
        <v>2022.1297642364843</v>
      </c>
      <c r="E223" s="53">
        <f>((((1-F$1)*D$1)-SUM(D$3:D222)+((F$1)*D$1))*(I223/12))</f>
        <v>2186.8852041110913</v>
      </c>
      <c r="F223" s="10">
        <f t="shared" si="19"/>
        <v>4209.0149683475756</v>
      </c>
      <c r="G223" s="10">
        <f t="shared" si="17"/>
        <v>1963.5</v>
      </c>
      <c r="H223" s="49"/>
      <c r="I223" s="19">
        <v>6.3E-2</v>
      </c>
    </row>
    <row r="224" spans="1:9" x14ac:dyDescent="0.25">
      <c r="A224" s="4">
        <f t="shared" si="16"/>
        <v>19</v>
      </c>
      <c r="B224" s="8">
        <f t="shared" si="15"/>
        <v>222</v>
      </c>
      <c r="C224" s="34">
        <f>SUM(D$3:D224)/D$1</f>
        <v>0.51471213296695095</v>
      </c>
      <c r="D224" s="10">
        <f t="shared" si="18"/>
        <v>2032.7459454987256</v>
      </c>
      <c r="E224" s="53">
        <f>((((1-F$1)*D$1)-SUM(D$3:D223)+((F$1)*D$1))*(I224/12))</f>
        <v>2176.26902284885</v>
      </c>
      <c r="F224" s="10">
        <f t="shared" si="19"/>
        <v>4209.0149683475756</v>
      </c>
      <c r="G224" s="10">
        <f t="shared" si="17"/>
        <v>1963.5</v>
      </c>
      <c r="H224" s="49"/>
      <c r="I224" s="19">
        <v>6.3E-2</v>
      </c>
    </row>
    <row r="225" spans="1:9" x14ac:dyDescent="0.25">
      <c r="A225" s="4">
        <f t="shared" si="16"/>
        <v>19</v>
      </c>
      <c r="B225" s="8">
        <f t="shared" ref="B225:B288" si="20">B224+1</f>
        <v>223</v>
      </c>
      <c r="C225" s="34">
        <f>SUM(D$3:D225)/D$1</f>
        <v>0.51711615398073041</v>
      </c>
      <c r="D225" s="10">
        <f t="shared" si="18"/>
        <v>2043.417861712594</v>
      </c>
      <c r="E225" s="53">
        <f>((((1-F$1)*D$1)-SUM(D$3:D224)+((F$1)*D$1))*(I225/12))</f>
        <v>2165.5971066349816</v>
      </c>
      <c r="F225" s="10">
        <f t="shared" si="19"/>
        <v>4209.0149683475756</v>
      </c>
      <c r="G225" s="10">
        <f t="shared" si="17"/>
        <v>1963.5</v>
      </c>
      <c r="H225" s="49"/>
      <c r="I225" s="19">
        <v>6.3E-2</v>
      </c>
    </row>
    <row r="226" spans="1:9" x14ac:dyDescent="0.25">
      <c r="A226" s="4">
        <f t="shared" si="16"/>
        <v>19</v>
      </c>
      <c r="B226" s="8">
        <f t="shared" si="20"/>
        <v>224</v>
      </c>
      <c r="C226" s="34">
        <f>SUM(D$3:D226)/D$1</f>
        <v>0.51953279610483227</v>
      </c>
      <c r="D226" s="10">
        <f t="shared" si="18"/>
        <v>2054.1458054865848</v>
      </c>
      <c r="E226" s="53">
        <f>((((1-F$1)*D$1)-SUM(D$3:D225)+((F$1)*D$1))*(I226/12))</f>
        <v>2154.8691628609909</v>
      </c>
      <c r="F226" s="10">
        <f t="shared" si="19"/>
        <v>4209.0149683475756</v>
      </c>
      <c r="G226" s="10">
        <f t="shared" si="17"/>
        <v>1963.5</v>
      </c>
      <c r="H226" s="49"/>
      <c r="I226" s="19">
        <v>6.3E-2</v>
      </c>
    </row>
    <row r="227" spans="1:9" x14ac:dyDescent="0.25">
      <c r="A227" s="4">
        <f t="shared" si="16"/>
        <v>19</v>
      </c>
      <c r="B227" s="8">
        <f t="shared" si="20"/>
        <v>225</v>
      </c>
      <c r="C227" s="34">
        <f>SUM(D$3:D227)/D$1</f>
        <v>0.5219621256000857</v>
      </c>
      <c r="D227" s="10">
        <f t="shared" si="18"/>
        <v>2064.9300709653894</v>
      </c>
      <c r="E227" s="53">
        <f>((((1-F$1)*D$1)-SUM(D$3:D226)+((F$1)*D$1))*(I227/12))</f>
        <v>2144.0848973821862</v>
      </c>
      <c r="F227" s="10">
        <f t="shared" si="19"/>
        <v>4209.0149683475756</v>
      </c>
      <c r="G227" s="10">
        <f t="shared" si="17"/>
        <v>1963.5</v>
      </c>
      <c r="H227" s="49"/>
      <c r="I227" s="19">
        <v>6.3E-2</v>
      </c>
    </row>
    <row r="228" spans="1:9" x14ac:dyDescent="0.25">
      <c r="A228" s="4">
        <f t="shared" si="16"/>
        <v>19</v>
      </c>
      <c r="B228" s="8">
        <f t="shared" si="20"/>
        <v>226</v>
      </c>
      <c r="C228" s="34">
        <f>SUM(D$3:D228)/D$1</f>
        <v>0.52440420907518914</v>
      </c>
      <c r="D228" s="10">
        <f t="shared" si="18"/>
        <v>2075.7709538379577</v>
      </c>
      <c r="E228" s="53">
        <f>((((1-F$1)*D$1)-SUM(D$3:D227)+((F$1)*D$1))*(I228/12))</f>
        <v>2133.244014509618</v>
      </c>
      <c r="F228" s="10">
        <f t="shared" si="19"/>
        <v>4209.0149683475756</v>
      </c>
      <c r="G228" s="10">
        <f t="shared" si="17"/>
        <v>1963.5</v>
      </c>
      <c r="H228" s="49"/>
      <c r="I228" s="19">
        <v>6.3E-2</v>
      </c>
    </row>
    <row r="229" spans="1:9" x14ac:dyDescent="0.25">
      <c r="A229" s="4">
        <f t="shared" si="16"/>
        <v>19</v>
      </c>
      <c r="B229" s="8">
        <f t="shared" si="20"/>
        <v>227</v>
      </c>
      <c r="C229" s="34">
        <f>SUM(D$3:D229)/D$1</f>
        <v>0.52685911348853687</v>
      </c>
      <c r="D229" s="10">
        <f t="shared" si="18"/>
        <v>2086.6687513456072</v>
      </c>
      <c r="E229" s="53">
        <f>((((1-F$1)*D$1)-SUM(D$3:D228)+((F$1)*D$1))*(I229/12))</f>
        <v>2122.3462170019684</v>
      </c>
      <c r="F229" s="10">
        <f t="shared" si="19"/>
        <v>4209.0149683475756</v>
      </c>
      <c r="G229" s="10">
        <f t="shared" si="17"/>
        <v>1963.5</v>
      </c>
      <c r="H229" s="49"/>
      <c r="I229" s="19">
        <v>6.3E-2</v>
      </c>
    </row>
    <row r="230" spans="1:9" x14ac:dyDescent="0.25">
      <c r="A230" s="4">
        <f t="shared" si="16"/>
        <v>19</v>
      </c>
      <c r="B230" s="8">
        <f t="shared" si="20"/>
        <v>228</v>
      </c>
      <c r="C230" s="34">
        <f>SUM(D$3:D230)/D$1</f>
        <v>0.52932690615005473</v>
      </c>
      <c r="D230" s="10">
        <f t="shared" si="18"/>
        <v>2097.6237622901713</v>
      </c>
      <c r="E230" s="53">
        <f>((((1-F$1)*D$1)-SUM(D$3:D229)+((F$1)*D$1))*(I230/12))</f>
        <v>2111.3912060574044</v>
      </c>
      <c r="F230" s="10">
        <f t="shared" si="19"/>
        <v>4209.0149683475756</v>
      </c>
      <c r="G230" s="10">
        <f t="shared" si="17"/>
        <v>1963.5</v>
      </c>
      <c r="H230" s="49"/>
      <c r="I230" s="19">
        <v>6.3E-2</v>
      </c>
    </row>
    <row r="231" spans="1:9" x14ac:dyDescent="0.25">
      <c r="A231" s="4">
        <f t="shared" si="16"/>
        <v>20</v>
      </c>
      <c r="B231" s="8">
        <f t="shared" si="20"/>
        <v>229</v>
      </c>
      <c r="C231" s="34">
        <f>SUM(D$3:D231)/D$1</f>
        <v>0.53180765472304559</v>
      </c>
      <c r="D231" s="10">
        <f t="shared" si="18"/>
        <v>2108.6362870421949</v>
      </c>
      <c r="E231" s="53">
        <f>((((1-F$1)*D$1)-SUM(D$3:D230)+((F$1)*D$1))*(I231/12))</f>
        <v>2100.3786813053807</v>
      </c>
      <c r="F231" s="10">
        <f t="shared" si="19"/>
        <v>4209.0149683475756</v>
      </c>
      <c r="G231" s="10">
        <f t="shared" si="17"/>
        <v>1963.5</v>
      </c>
      <c r="H231" s="49"/>
      <c r="I231" s="19">
        <v>6.3E-2</v>
      </c>
    </row>
    <row r="232" spans="1:9" x14ac:dyDescent="0.25">
      <c r="A232" s="4">
        <f t="shared" si="16"/>
        <v>20</v>
      </c>
      <c r="B232" s="8">
        <f t="shared" si="20"/>
        <v>230</v>
      </c>
      <c r="C232" s="34">
        <f>SUM(D$3:D232)/D$1</f>
        <v>0.53430142722604457</v>
      </c>
      <c r="D232" s="10">
        <f t="shared" si="18"/>
        <v>2119.7066275491661</v>
      </c>
      <c r="E232" s="53">
        <f>((((1-F$1)*D$1)-SUM(D$3:D231)+((F$1)*D$1))*(I232/12))</f>
        <v>2089.3083407984095</v>
      </c>
      <c r="F232" s="10">
        <f t="shared" si="19"/>
        <v>4209.0149683475756</v>
      </c>
      <c r="G232" s="10">
        <f t="shared" si="17"/>
        <v>1963.5</v>
      </c>
      <c r="H232" s="49"/>
      <c r="I232" s="19">
        <v>6.3E-2</v>
      </c>
    </row>
    <row r="233" spans="1:9" x14ac:dyDescent="0.25">
      <c r="A233" s="4">
        <f t="shared" si="16"/>
        <v>20</v>
      </c>
      <c r="B233" s="8">
        <f t="shared" si="20"/>
        <v>231</v>
      </c>
      <c r="C233" s="34">
        <f>SUM(D$3:D233)/D$1</f>
        <v>0.53680829203468428</v>
      </c>
      <c r="D233" s="10">
        <f t="shared" si="18"/>
        <v>2130.8350873437994</v>
      </c>
      <c r="E233" s="53">
        <f>((((1-F$1)*D$1)-SUM(D$3:D232)+((F$1)*D$1))*(I233/12))</f>
        <v>2078.1798810037762</v>
      </c>
      <c r="F233" s="10">
        <f t="shared" si="19"/>
        <v>4209.0149683475756</v>
      </c>
      <c r="G233" s="10">
        <f t="shared" si="17"/>
        <v>1963.5</v>
      </c>
      <c r="H233" s="49"/>
      <c r="I233" s="19">
        <v>6.3E-2</v>
      </c>
    </row>
    <row r="234" spans="1:9" x14ac:dyDescent="0.25">
      <c r="A234" s="4">
        <f t="shared" si="16"/>
        <v>20</v>
      </c>
      <c r="B234" s="8">
        <f t="shared" si="20"/>
        <v>232</v>
      </c>
      <c r="C234" s="34">
        <f>SUM(D$3:D234)/D$1</f>
        <v>0.53932831788356939</v>
      </c>
      <c r="D234" s="10">
        <f t="shared" si="18"/>
        <v>2142.0219715523544</v>
      </c>
      <c r="E234" s="53">
        <f>((((1-F$1)*D$1)-SUM(D$3:D233)+((F$1)*D$1))*(I234/12))</f>
        <v>2066.9929967952212</v>
      </c>
      <c r="F234" s="10">
        <f t="shared" si="19"/>
        <v>4209.0149683475756</v>
      </c>
      <c r="G234" s="10">
        <f t="shared" si="17"/>
        <v>1963.5</v>
      </c>
      <c r="H234" s="49"/>
      <c r="I234" s="19">
        <v>6.3E-2</v>
      </c>
    </row>
    <row r="235" spans="1:9" x14ac:dyDescent="0.25">
      <c r="A235" s="4">
        <f t="shared" si="16"/>
        <v>20</v>
      </c>
      <c r="B235" s="8">
        <f t="shared" si="20"/>
        <v>233</v>
      </c>
      <c r="C235" s="34">
        <f>SUM(D$3:D235)/D$1</f>
        <v>0.54186157386816125</v>
      </c>
      <c r="D235" s="10">
        <f t="shared" si="18"/>
        <v>2153.267586903004</v>
      </c>
      <c r="E235" s="53">
        <f>((((1-F$1)*D$1)-SUM(D$3:D234)+((F$1)*D$1))*(I235/12))</f>
        <v>2055.7473814445716</v>
      </c>
      <c r="F235" s="10">
        <f t="shared" si="19"/>
        <v>4209.0149683475756</v>
      </c>
      <c r="G235" s="10">
        <f t="shared" si="17"/>
        <v>1963.5</v>
      </c>
      <c r="H235" s="49"/>
      <c r="I235" s="19">
        <v>6.3E-2</v>
      </c>
    </row>
    <row r="236" spans="1:9" x14ac:dyDescent="0.25">
      <c r="A236" s="4">
        <f t="shared" si="16"/>
        <v>20</v>
      </c>
      <c r="B236" s="8">
        <f t="shared" si="20"/>
        <v>234</v>
      </c>
      <c r="C236" s="34">
        <f>SUM(D$3:D236)/D$1</f>
        <v>0.54440812944667205</v>
      </c>
      <c r="D236" s="10">
        <f t="shared" si="18"/>
        <v>2164.5722417342449</v>
      </c>
      <c r="E236" s="53">
        <f>((((1-F$1)*D$1)-SUM(D$3:D235)+((F$1)*D$1))*(I236/12))</f>
        <v>2044.4427266133307</v>
      </c>
      <c r="F236" s="10">
        <f t="shared" si="19"/>
        <v>4209.0149683475756</v>
      </c>
      <c r="G236" s="10">
        <f t="shared" si="17"/>
        <v>1963.5</v>
      </c>
      <c r="H236" s="49"/>
      <c r="I236" s="19">
        <v>6.3E-2</v>
      </c>
    </row>
    <row r="237" spans="1:9" x14ac:dyDescent="0.25">
      <c r="A237" s="4">
        <f t="shared" si="16"/>
        <v>20</v>
      </c>
      <c r="B237" s="8">
        <f t="shared" si="20"/>
        <v>235</v>
      </c>
      <c r="C237" s="34">
        <f>SUM(D$3:D237)/D$1</f>
        <v>0.54696805444197016</v>
      </c>
      <c r="D237" s="10">
        <f t="shared" si="18"/>
        <v>2175.9362460033499</v>
      </c>
      <c r="E237" s="53">
        <f>((((1-F$1)*D$1)-SUM(D$3:D236)+((F$1)*D$1))*(I237/12))</f>
        <v>2033.078722344226</v>
      </c>
      <c r="F237" s="10">
        <f t="shared" si="19"/>
        <v>4209.0149683475756</v>
      </c>
      <c r="G237" s="10">
        <f t="shared" si="17"/>
        <v>1963.5</v>
      </c>
      <c r="H237" s="49"/>
      <c r="I237" s="19">
        <v>6.3E-2</v>
      </c>
    </row>
    <row r="238" spans="1:9" x14ac:dyDescent="0.25">
      <c r="A238" s="4">
        <f t="shared" si="16"/>
        <v>20</v>
      </c>
      <c r="B238" s="8">
        <f t="shared" si="20"/>
        <v>236</v>
      </c>
      <c r="C238" s="34">
        <f>SUM(D$3:D238)/D$1</f>
        <v>0.54954141904349352</v>
      </c>
      <c r="D238" s="10">
        <f t="shared" si="18"/>
        <v>2187.3599112948673</v>
      </c>
      <c r="E238" s="53">
        <f>((((1-F$1)*D$1)-SUM(D$3:D237)+((F$1)*D$1))*(I238/12))</f>
        <v>2021.6550570527083</v>
      </c>
      <c r="F238" s="10">
        <f t="shared" si="19"/>
        <v>4209.0149683475756</v>
      </c>
      <c r="G238" s="10">
        <f t="shared" si="17"/>
        <v>1963.5</v>
      </c>
      <c r="H238" s="49"/>
      <c r="I238" s="19">
        <v>6.3E-2</v>
      </c>
    </row>
    <row r="239" spans="1:9" x14ac:dyDescent="0.25">
      <c r="A239" s="4">
        <f t="shared" si="16"/>
        <v>20</v>
      </c>
      <c r="B239" s="8">
        <f t="shared" si="20"/>
        <v>237</v>
      </c>
      <c r="C239" s="34">
        <f>SUM(D$3:D239)/D$1</f>
        <v>0.55212829380917494</v>
      </c>
      <c r="D239" s="10">
        <f t="shared" si="18"/>
        <v>2198.8435508291655</v>
      </c>
      <c r="E239" s="53">
        <f>((((1-F$1)*D$1)-SUM(D$3:D238)+((F$1)*D$1))*(I239/12))</f>
        <v>2010.1714175184102</v>
      </c>
      <c r="F239" s="10">
        <f t="shared" si="19"/>
        <v>4209.0149683475756</v>
      </c>
      <c r="G239" s="10">
        <f t="shared" si="17"/>
        <v>1963.5</v>
      </c>
      <c r="H239" s="49"/>
      <c r="I239" s="19">
        <v>6.3E-2</v>
      </c>
    </row>
    <row r="240" spans="1:9" x14ac:dyDescent="0.25">
      <c r="A240" s="4">
        <f t="shared" si="16"/>
        <v>20</v>
      </c>
      <c r="B240" s="8">
        <f t="shared" si="20"/>
        <v>238</v>
      </c>
      <c r="C240" s="34">
        <f>SUM(D$3:D240)/D$1</f>
        <v>0.55472874966737618</v>
      </c>
      <c r="D240" s="10">
        <f t="shared" si="18"/>
        <v>2210.3874794710187</v>
      </c>
      <c r="E240" s="53">
        <f>((((1-F$1)*D$1)-SUM(D$3:D239)+((F$1)*D$1))*(I240/12))</f>
        <v>1998.627488876557</v>
      </c>
      <c r="F240" s="10">
        <f t="shared" si="19"/>
        <v>4209.0149683475756</v>
      </c>
      <c r="G240" s="10">
        <f t="shared" si="17"/>
        <v>1963.5</v>
      </c>
      <c r="H240" s="49"/>
      <c r="I240" s="19">
        <v>6.3E-2</v>
      </c>
    </row>
    <row r="241" spans="1:9" x14ac:dyDescent="0.25">
      <c r="A241" s="4">
        <f t="shared" si="16"/>
        <v>20</v>
      </c>
      <c r="B241" s="8">
        <f t="shared" si="20"/>
        <v>239</v>
      </c>
      <c r="C241" s="34">
        <f>SUM(D$3:D241)/D$1</f>
        <v>0.55734285791883298</v>
      </c>
      <c r="D241" s="10">
        <f t="shared" si="18"/>
        <v>2221.9920137382414</v>
      </c>
      <c r="E241" s="53">
        <f>((((1-F$1)*D$1)-SUM(D$3:D240)+((F$1)*D$1))*(I241/12))</f>
        <v>1987.022954609334</v>
      </c>
      <c r="F241" s="10">
        <f t="shared" si="19"/>
        <v>4209.0149683475756</v>
      </c>
      <c r="G241" s="10">
        <f t="shared" si="17"/>
        <v>1963.5</v>
      </c>
      <c r="H241" s="49"/>
      <c r="I241" s="19">
        <v>6.3E-2</v>
      </c>
    </row>
    <row r="242" spans="1:9" x14ac:dyDescent="0.25">
      <c r="A242" s="4">
        <f t="shared" si="16"/>
        <v>20</v>
      </c>
      <c r="B242" s="8">
        <f t="shared" si="20"/>
        <v>240</v>
      </c>
      <c r="C242" s="34">
        <f>SUM(D$3:D242)/D$1</f>
        <v>0.55997069023860979</v>
      </c>
      <c r="D242" s="10">
        <f t="shared" si="18"/>
        <v>2233.6574718103675</v>
      </c>
      <c r="E242" s="53">
        <f>((((1-F$1)*D$1)-SUM(D$3:D241)+((F$1)*D$1))*(I242/12))</f>
        <v>1975.3574965372081</v>
      </c>
      <c r="F242" s="10">
        <f t="shared" si="19"/>
        <v>4209.0149683475756</v>
      </c>
      <c r="G242" s="10">
        <f t="shared" si="17"/>
        <v>1963.5</v>
      </c>
      <c r="H242" s="49"/>
      <c r="I242" s="19">
        <v>6.3E-2</v>
      </c>
    </row>
    <row r="243" spans="1:9" x14ac:dyDescent="0.25">
      <c r="A243" s="4">
        <f t="shared" si="16"/>
        <v>21</v>
      </c>
      <c r="B243" s="8">
        <f t="shared" si="20"/>
        <v>241</v>
      </c>
      <c r="C243" s="34">
        <f>SUM(D$3:D243)/D$1</f>
        <v>0.56261231867806549</v>
      </c>
      <c r="D243" s="10">
        <f t="shared" si="18"/>
        <v>2245.3841735373717</v>
      </c>
      <c r="E243" s="53">
        <f>((((1-F$1)*D$1)-SUM(D$3:D242)+((F$1)*D$1))*(I243/12))</f>
        <v>1963.6307948102037</v>
      </c>
      <c r="F243" s="10">
        <f t="shared" si="19"/>
        <v>4209.0149683475756</v>
      </c>
      <c r="G243" s="10">
        <f t="shared" si="17"/>
        <v>1963.5</v>
      </c>
      <c r="H243" s="49"/>
      <c r="I243" s="19">
        <v>6.3E-2</v>
      </c>
    </row>
    <row r="244" spans="1:9" x14ac:dyDescent="0.25">
      <c r="A244" s="4">
        <f t="shared" si="16"/>
        <v>21</v>
      </c>
      <c r="B244" s="8">
        <f t="shared" si="20"/>
        <v>242</v>
      </c>
      <c r="C244" s="34">
        <f>SUM(D$3:D244)/D$1</f>
        <v>0.56526781566682838</v>
      </c>
      <c r="D244" s="10">
        <f t="shared" si="18"/>
        <v>2257.172440448443</v>
      </c>
      <c r="E244" s="53">
        <f>((((1-F$1)*D$1)-SUM(D$3:D243)+((F$1)*D$1))*(I244/12))</f>
        <v>1951.8425278991326</v>
      </c>
      <c r="F244" s="10">
        <f t="shared" si="19"/>
        <v>4209.0149683475756</v>
      </c>
      <c r="G244" s="10">
        <f t="shared" si="17"/>
        <v>1963.5</v>
      </c>
      <c r="H244" s="49"/>
      <c r="I244" s="19">
        <v>6.3E-2</v>
      </c>
    </row>
    <row r="245" spans="1:9" x14ac:dyDescent="0.25">
      <c r="A245" s="4">
        <f t="shared" si="16"/>
        <v>21</v>
      </c>
      <c r="B245" s="8">
        <f t="shared" si="20"/>
        <v>243</v>
      </c>
      <c r="C245" s="34">
        <f>SUM(D$3:D245)/D$1</f>
        <v>0.56793725401478234</v>
      </c>
      <c r="D245" s="10">
        <f t="shared" si="18"/>
        <v>2269.0225957607972</v>
      </c>
      <c r="E245" s="53">
        <f>((((1-F$1)*D$1)-SUM(D$3:D244)+((F$1)*D$1))*(I245/12))</f>
        <v>1939.9923725867784</v>
      </c>
      <c r="F245" s="10">
        <f t="shared" si="19"/>
        <v>4209.0149683475756</v>
      </c>
      <c r="G245" s="10">
        <f t="shared" si="17"/>
        <v>1963.5</v>
      </c>
      <c r="H245" s="49"/>
      <c r="I245" s="19">
        <v>6.3E-2</v>
      </c>
    </row>
    <row r="246" spans="1:9" x14ac:dyDescent="0.25">
      <c r="A246" s="4">
        <f t="shared" si="16"/>
        <v>21</v>
      </c>
      <c r="B246" s="8">
        <f t="shared" si="20"/>
        <v>244</v>
      </c>
      <c r="C246" s="34">
        <f>SUM(D$3:D246)/D$1</f>
        <v>0.57062070691406297</v>
      </c>
      <c r="D246" s="10">
        <f t="shared" si="18"/>
        <v>2280.9349643885416</v>
      </c>
      <c r="E246" s="53">
        <f>((((1-F$1)*D$1)-SUM(D$3:D245)+((F$1)*D$1))*(I246/12))</f>
        <v>1928.080003959034</v>
      </c>
      <c r="F246" s="10">
        <f t="shared" si="19"/>
        <v>4209.0149683475756</v>
      </c>
      <c r="G246" s="10">
        <f t="shared" si="17"/>
        <v>1963.5</v>
      </c>
      <c r="H246" s="49"/>
      <c r="I246" s="19">
        <v>6.3E-2</v>
      </c>
    </row>
    <row r="247" spans="1:9" x14ac:dyDescent="0.25">
      <c r="A247" s="4">
        <f t="shared" si="16"/>
        <v>21</v>
      </c>
      <c r="B247" s="8">
        <f t="shared" si="20"/>
        <v>245</v>
      </c>
      <c r="C247" s="34">
        <f>SUM(D$3:D247)/D$1</f>
        <v>0.57331824794106478</v>
      </c>
      <c r="D247" s="10">
        <f t="shared" si="18"/>
        <v>2292.9098729515817</v>
      </c>
      <c r="E247" s="53">
        <f>((((1-F$1)*D$1)-SUM(D$3:D246)+((F$1)*D$1))*(I247/12))</f>
        <v>1916.1050953959941</v>
      </c>
      <c r="F247" s="10">
        <f t="shared" si="19"/>
        <v>4209.0149683475756</v>
      </c>
      <c r="G247" s="10">
        <f t="shared" si="17"/>
        <v>1963.5</v>
      </c>
      <c r="H247" s="49"/>
      <c r="I247" s="19">
        <v>6.3E-2</v>
      </c>
    </row>
    <row r="248" spans="1:9" x14ac:dyDescent="0.25">
      <c r="A248" s="4">
        <f t="shared" si="16"/>
        <v>21</v>
      </c>
      <c r="B248" s="8">
        <f t="shared" si="20"/>
        <v>246</v>
      </c>
      <c r="C248" s="34">
        <f>SUM(D$3:D248)/D$1</f>
        <v>0.57602995105845844</v>
      </c>
      <c r="D248" s="10">
        <f t="shared" si="18"/>
        <v>2304.9476497845772</v>
      </c>
      <c r="E248" s="53">
        <f>((((1-F$1)*D$1)-SUM(D$3:D247)+((F$1)*D$1))*(I248/12))</f>
        <v>1904.0673185629985</v>
      </c>
      <c r="F248" s="10">
        <f t="shared" si="19"/>
        <v>4209.0149683475756</v>
      </c>
      <c r="G248" s="10">
        <f t="shared" si="17"/>
        <v>1963.5</v>
      </c>
      <c r="H248" s="49"/>
      <c r="I248" s="19">
        <v>6.3E-2</v>
      </c>
    </row>
    <row r="249" spans="1:9" x14ac:dyDescent="0.25">
      <c r="A249" s="4">
        <f t="shared" si="16"/>
        <v>21</v>
      </c>
      <c r="B249" s="8">
        <f t="shared" si="20"/>
        <v>247</v>
      </c>
      <c r="C249" s="34">
        <f>SUM(D$3:D249)/D$1</f>
        <v>0.57875589061721833</v>
      </c>
      <c r="D249" s="10">
        <f t="shared" si="18"/>
        <v>2317.0486249459464</v>
      </c>
      <c r="E249" s="53">
        <f>((((1-F$1)*D$1)-SUM(D$3:D248)+((F$1)*D$1))*(I249/12))</f>
        <v>1891.9663434016295</v>
      </c>
      <c r="F249" s="10">
        <f t="shared" si="19"/>
        <v>4209.0149683475756</v>
      </c>
      <c r="G249" s="10">
        <f t="shared" si="17"/>
        <v>1963.5</v>
      </c>
      <c r="H249" s="49"/>
      <c r="I249" s="19">
        <v>6.3E-2</v>
      </c>
    </row>
    <row r="250" spans="1:9" x14ac:dyDescent="0.25">
      <c r="A250" s="4">
        <f t="shared" si="16"/>
        <v>21</v>
      </c>
      <c r="B250" s="8">
        <f t="shared" si="20"/>
        <v>248</v>
      </c>
      <c r="C250" s="34">
        <f>SUM(D$3:D250)/D$1</f>
        <v>0.58149614135866179</v>
      </c>
      <c r="D250" s="10">
        <f t="shared" si="18"/>
        <v>2329.2131302269122</v>
      </c>
      <c r="E250" s="53">
        <f>((((1-F$1)*D$1)-SUM(D$3:D249)+((F$1)*D$1))*(I250/12))</f>
        <v>1879.8018381206634</v>
      </c>
      <c r="F250" s="10">
        <f t="shared" si="19"/>
        <v>4209.0149683475756</v>
      </c>
      <c r="G250" s="10">
        <f t="shared" si="17"/>
        <v>1963.5</v>
      </c>
      <c r="H250" s="49"/>
      <c r="I250" s="19">
        <v>6.3E-2</v>
      </c>
    </row>
    <row r="251" spans="1:9" x14ac:dyDescent="0.25">
      <c r="A251" s="4">
        <f t="shared" si="16"/>
        <v>21</v>
      </c>
      <c r="B251" s="8">
        <f t="shared" si="20"/>
        <v>249</v>
      </c>
      <c r="C251" s="34">
        <f>SUM(D$3:D251)/D$1</f>
        <v>0.58425077841649775</v>
      </c>
      <c r="D251" s="10">
        <f t="shared" si="18"/>
        <v>2341.4414991606036</v>
      </c>
      <c r="E251" s="53">
        <f>((((1-F$1)*D$1)-SUM(D$3:D250)+((F$1)*D$1))*(I251/12))</f>
        <v>1867.573469186972</v>
      </c>
      <c r="F251" s="10">
        <f t="shared" si="19"/>
        <v>4209.0149683475756</v>
      </c>
      <c r="G251" s="10">
        <f t="shared" si="17"/>
        <v>1963.5</v>
      </c>
      <c r="H251" s="49"/>
      <c r="I251" s="19">
        <v>6.3E-2</v>
      </c>
    </row>
    <row r="252" spans="1:9" x14ac:dyDescent="0.25">
      <c r="A252" s="4">
        <f t="shared" si="16"/>
        <v>21</v>
      </c>
      <c r="B252" s="8">
        <f t="shared" si="20"/>
        <v>250</v>
      </c>
      <c r="C252" s="34">
        <f>SUM(D$3:D252)/D$1</f>
        <v>0.58701987731888738</v>
      </c>
      <c r="D252" s="10">
        <f t="shared" si="18"/>
        <v>2353.7340670311969</v>
      </c>
      <c r="E252" s="53">
        <f>((((1-F$1)*D$1)-SUM(D$3:D251)+((F$1)*D$1))*(I252/12))</f>
        <v>1855.2809013163787</v>
      </c>
      <c r="F252" s="10">
        <f t="shared" si="19"/>
        <v>4209.0149683475756</v>
      </c>
      <c r="G252" s="10">
        <f t="shared" si="17"/>
        <v>1963.5</v>
      </c>
      <c r="H252" s="49"/>
      <c r="I252" s="19">
        <v>6.3E-2</v>
      </c>
    </row>
    <row r="253" spans="1:9" x14ac:dyDescent="0.25">
      <c r="A253" s="4">
        <f t="shared" si="16"/>
        <v>21</v>
      </c>
      <c r="B253" s="8">
        <f t="shared" si="20"/>
        <v>251</v>
      </c>
      <c r="C253" s="34">
        <f>SUM(D$3:D253)/D$1</f>
        <v>0.58980351399051456</v>
      </c>
      <c r="D253" s="10">
        <f t="shared" si="18"/>
        <v>2366.0911708831109</v>
      </c>
      <c r="E253" s="53">
        <f>((((1-F$1)*D$1)-SUM(D$3:D252)+((F$1)*D$1))*(I253/12))</f>
        <v>1842.923797464465</v>
      </c>
      <c r="F253" s="10">
        <f t="shared" si="19"/>
        <v>4209.0149683475756</v>
      </c>
      <c r="G253" s="10">
        <f t="shared" si="17"/>
        <v>1963.5</v>
      </c>
      <c r="H253" s="49"/>
      <c r="I253" s="19">
        <v>6.3E-2</v>
      </c>
    </row>
    <row r="254" spans="1:9" x14ac:dyDescent="0.25">
      <c r="A254" s="4">
        <f t="shared" si="16"/>
        <v>21</v>
      </c>
      <c r="B254" s="8">
        <f t="shared" si="20"/>
        <v>252</v>
      </c>
      <c r="C254" s="34">
        <f>SUM(D$3:D254)/D$1</f>
        <v>0.59260176475466775</v>
      </c>
      <c r="D254" s="10">
        <f t="shared" si="18"/>
        <v>2378.5131495302467</v>
      </c>
      <c r="E254" s="53">
        <f>((((1-F$1)*D$1)-SUM(D$3:D253)+((F$1)*D$1))*(I254/12))</f>
        <v>1830.5018188173287</v>
      </c>
      <c r="F254" s="10">
        <f t="shared" si="19"/>
        <v>4209.0149683475756</v>
      </c>
      <c r="G254" s="10">
        <f t="shared" si="17"/>
        <v>1963.5</v>
      </c>
      <c r="H254" s="49"/>
      <c r="I254" s="19">
        <v>6.3E-2</v>
      </c>
    </row>
    <row r="255" spans="1:9" x14ac:dyDescent="0.25">
      <c r="A255" s="4">
        <f t="shared" si="16"/>
        <v>22</v>
      </c>
      <c r="B255" s="8">
        <f t="shared" si="20"/>
        <v>253</v>
      </c>
      <c r="C255" s="34">
        <f>SUM(D$3:D255)/D$1</f>
        <v>0.59541470633533289</v>
      </c>
      <c r="D255" s="10">
        <f t="shared" si="18"/>
        <v>2391.0003435652807</v>
      </c>
      <c r="E255" s="53">
        <f>((((1-F$1)*D$1)-SUM(D$3:D254)+((F$1)*D$1))*(I255/12))</f>
        <v>1818.0146247822952</v>
      </c>
      <c r="F255" s="10">
        <f t="shared" si="19"/>
        <v>4209.0149683475756</v>
      </c>
      <c r="G255" s="10">
        <f t="shared" si="17"/>
        <v>1963.5</v>
      </c>
      <c r="H255" s="49"/>
      <c r="I255" s="19">
        <v>6.3E-2</v>
      </c>
    </row>
    <row r="256" spans="1:9" x14ac:dyDescent="0.25">
      <c r="A256" s="4">
        <f t="shared" si="16"/>
        <v>22</v>
      </c>
      <c r="B256" s="8">
        <f t="shared" si="20"/>
        <v>254</v>
      </c>
      <c r="C256" s="34">
        <f>SUM(D$3:D256)/D$1</f>
        <v>0.59824241585929638</v>
      </c>
      <c r="D256" s="10">
        <f t="shared" si="18"/>
        <v>2403.5530953689986</v>
      </c>
      <c r="E256" s="53">
        <f>((((1-F$1)*D$1)-SUM(D$3:D255)+((F$1)*D$1))*(I256/12))</f>
        <v>1805.4618729785773</v>
      </c>
      <c r="F256" s="10">
        <f t="shared" si="19"/>
        <v>4209.0149683475756</v>
      </c>
      <c r="G256" s="10">
        <f t="shared" si="17"/>
        <v>1963.5</v>
      </c>
      <c r="H256" s="49"/>
      <c r="I256" s="19">
        <v>6.3E-2</v>
      </c>
    </row>
    <row r="257" spans="1:9" x14ac:dyDescent="0.25">
      <c r="A257" s="4">
        <f t="shared" si="16"/>
        <v>22</v>
      </c>
      <c r="B257" s="8">
        <f t="shared" si="20"/>
        <v>255</v>
      </c>
      <c r="C257" s="34">
        <f>SUM(D$3:D257)/D$1</f>
        <v>0.60108497085826074</v>
      </c>
      <c r="D257" s="10">
        <f t="shared" si="18"/>
        <v>2416.171749119686</v>
      </c>
      <c r="E257" s="53">
        <f>((((1-F$1)*D$1)-SUM(D$3:D256)+((F$1)*D$1))*(I257/12))</f>
        <v>1792.8432192278899</v>
      </c>
      <c r="F257" s="10">
        <f t="shared" si="19"/>
        <v>4209.0149683475756</v>
      </c>
      <c r="G257" s="10">
        <f t="shared" si="17"/>
        <v>1963.5</v>
      </c>
      <c r="H257" s="49"/>
      <c r="I257" s="19">
        <v>6.3E-2</v>
      </c>
    </row>
    <row r="258" spans="1:9" x14ac:dyDescent="0.25">
      <c r="A258" s="4">
        <f t="shared" si="16"/>
        <v>22</v>
      </c>
      <c r="B258" s="8">
        <f t="shared" si="20"/>
        <v>256</v>
      </c>
      <c r="C258" s="34">
        <f>SUM(D$3:D258)/D$1</f>
        <v>0.60394244927096963</v>
      </c>
      <c r="D258" s="10">
        <f t="shared" si="18"/>
        <v>2428.8566508025642</v>
      </c>
      <c r="E258" s="53">
        <f>((((1-F$1)*D$1)-SUM(D$3:D257)+((F$1)*D$1))*(I258/12))</f>
        <v>1780.1583175450116</v>
      </c>
      <c r="F258" s="10">
        <f t="shared" si="19"/>
        <v>4209.0149683475756</v>
      </c>
      <c r="G258" s="10">
        <f t="shared" si="17"/>
        <v>1963.5</v>
      </c>
      <c r="H258" s="49"/>
      <c r="I258" s="19">
        <v>6.3E-2</v>
      </c>
    </row>
    <row r="259" spans="1:9" x14ac:dyDescent="0.25">
      <c r="A259" s="4">
        <f t="shared" si="16"/>
        <v>22</v>
      </c>
      <c r="B259" s="8">
        <f t="shared" si="20"/>
        <v>257</v>
      </c>
      <c r="C259" s="34">
        <f>SUM(D$3:D259)/D$1</f>
        <v>0.60681492944534521</v>
      </c>
      <c r="D259" s="10">
        <f t="shared" si="18"/>
        <v>2441.6081482192776</v>
      </c>
      <c r="E259" s="53">
        <f>((((1-F$1)*D$1)-SUM(D$3:D258)+((F$1)*D$1))*(I259/12))</f>
        <v>1767.4068201282982</v>
      </c>
      <c r="F259" s="10">
        <f t="shared" si="19"/>
        <v>4209.0149683475756</v>
      </c>
      <c r="G259" s="10">
        <f t="shared" si="17"/>
        <v>1963.5</v>
      </c>
      <c r="H259" s="49"/>
      <c r="I259" s="19">
        <v>6.3E-2</v>
      </c>
    </row>
    <row r="260" spans="1:9" x14ac:dyDescent="0.25">
      <c r="A260" s="4">
        <f t="shared" ref="A260:A323" si="21">ROUNDUP(B260/12,0)</f>
        <v>22</v>
      </c>
      <c r="B260" s="8">
        <f t="shared" si="20"/>
        <v>258</v>
      </c>
      <c r="C260" s="34">
        <f>SUM(D$3:D260)/D$1</f>
        <v>0.60970249014063638</v>
      </c>
      <c r="D260" s="10">
        <f t="shared" si="18"/>
        <v>2454.4265909974288</v>
      </c>
      <c r="E260" s="53">
        <f>((((1-F$1)*D$1)-SUM(D$3:D259)+((F$1)*D$1))*(I260/12))</f>
        <v>1754.5883773501469</v>
      </c>
      <c r="F260" s="10">
        <f t="shared" si="19"/>
        <v>4209.0149683475756</v>
      </c>
      <c r="G260" s="10">
        <f t="shared" ref="G260:G323" si="22">(9800+11262+2500)/12</f>
        <v>1963.5</v>
      </c>
      <c r="H260" s="49"/>
      <c r="I260" s="19">
        <v>6.3E-2</v>
      </c>
    </row>
    <row r="261" spans="1:9" x14ac:dyDescent="0.25">
      <c r="A261" s="4">
        <f t="shared" si="21"/>
        <v>22</v>
      </c>
      <c r="B261" s="8">
        <f t="shared" si="20"/>
        <v>259</v>
      </c>
      <c r="C261" s="34">
        <f>SUM(D$3:D261)/D$1</f>
        <v>0.61260521052957773</v>
      </c>
      <c r="D261" s="10">
        <f t="shared" ref="D261:D324" si="23">F261-E261</f>
        <v>2467.3123306001653</v>
      </c>
      <c r="E261" s="53">
        <f>((((1-F$1)*D$1)-SUM(D$3:D260)+((F$1)*D$1))*(I261/12))</f>
        <v>1741.7026377474103</v>
      </c>
      <c r="F261" s="10">
        <f t="shared" ref="F261:F324" si="24">((1-F$1)*D$1)*(((I261/12)*((1+(I261/12))^(12*30)))/(((1+(I261/12))^(12*30))-1))</f>
        <v>4209.0149683475756</v>
      </c>
      <c r="G261" s="10">
        <f t="shared" si="22"/>
        <v>1963.5</v>
      </c>
      <c r="H261" s="49"/>
      <c r="I261" s="19">
        <v>6.3E-2</v>
      </c>
    </row>
    <row r="262" spans="1:9" x14ac:dyDescent="0.25">
      <c r="A262" s="4">
        <f t="shared" si="21"/>
        <v>22</v>
      </c>
      <c r="B262" s="8">
        <f t="shared" si="20"/>
        <v>260</v>
      </c>
      <c r="C262" s="34">
        <f>SUM(D$3:D262)/D$1</f>
        <v>0.61552317020056102</v>
      </c>
      <c r="D262" s="10">
        <f t="shared" si="23"/>
        <v>2480.2657203358162</v>
      </c>
      <c r="E262" s="53">
        <f>((((1-F$1)*D$1)-SUM(D$3:D261)+((F$1)*D$1))*(I262/12))</f>
        <v>1728.7492480117594</v>
      </c>
      <c r="F262" s="10">
        <f t="shared" si="24"/>
        <v>4209.0149683475756</v>
      </c>
      <c r="G262" s="10">
        <f t="shared" si="22"/>
        <v>1963.5</v>
      </c>
      <c r="H262" s="49"/>
      <c r="I262" s="19">
        <v>6.3E-2</v>
      </c>
    </row>
    <row r="263" spans="1:9" x14ac:dyDescent="0.25">
      <c r="A263" s="4">
        <f t="shared" si="21"/>
        <v>22</v>
      </c>
      <c r="B263" s="8">
        <f t="shared" si="20"/>
        <v>261</v>
      </c>
      <c r="C263" s="34">
        <f>SUM(D$3:D263)/D$1</f>
        <v>0.61845644915981701</v>
      </c>
      <c r="D263" s="10">
        <f t="shared" si="23"/>
        <v>2493.2871153675792</v>
      </c>
      <c r="E263" s="53">
        <f>((((1-F$1)*D$1)-SUM(D$3:D262)+((F$1)*D$1))*(I263/12))</f>
        <v>1715.7278529799964</v>
      </c>
      <c r="F263" s="10">
        <f t="shared" si="24"/>
        <v>4209.0149683475756</v>
      </c>
      <c r="G263" s="10">
        <f t="shared" si="22"/>
        <v>1963.5</v>
      </c>
      <c r="H263" s="49"/>
      <c r="I263" s="19">
        <v>6.3E-2</v>
      </c>
    </row>
    <row r="264" spans="1:9" x14ac:dyDescent="0.25">
      <c r="A264" s="4">
        <f t="shared" si="21"/>
        <v>22</v>
      </c>
      <c r="B264" s="8">
        <f t="shared" si="20"/>
        <v>262</v>
      </c>
      <c r="C264" s="34">
        <f>SUM(D$3:D264)/D$1</f>
        <v>0.62140512783360902</v>
      </c>
      <c r="D264" s="10">
        <f t="shared" si="23"/>
        <v>2506.3768727232591</v>
      </c>
      <c r="E264" s="53">
        <f>((((1-F$1)*D$1)-SUM(D$3:D263)+((F$1)*D$1))*(I264/12))</f>
        <v>1702.6380956243167</v>
      </c>
      <c r="F264" s="10">
        <f t="shared" si="24"/>
        <v>4209.0149683475756</v>
      </c>
      <c r="G264" s="10">
        <f t="shared" si="22"/>
        <v>1963.5</v>
      </c>
      <c r="H264" s="49"/>
      <c r="I264" s="19">
        <v>6.3E-2</v>
      </c>
    </row>
    <row r="265" spans="1:9" x14ac:dyDescent="0.25">
      <c r="A265" s="4">
        <f t="shared" si="21"/>
        <v>22</v>
      </c>
      <c r="B265" s="8">
        <f t="shared" si="20"/>
        <v>263</v>
      </c>
      <c r="C265" s="34">
        <f>SUM(D$3:D265)/D$1</f>
        <v>0.62436928707043848</v>
      </c>
      <c r="D265" s="10">
        <f t="shared" si="23"/>
        <v>2519.5353513050559</v>
      </c>
      <c r="E265" s="53">
        <f>((((1-F$1)*D$1)-SUM(D$3:D264)+((F$1)*D$1))*(I265/12))</f>
        <v>1689.47961704252</v>
      </c>
      <c r="F265" s="10">
        <f t="shared" si="24"/>
        <v>4209.0149683475756</v>
      </c>
      <c r="G265" s="10">
        <f t="shared" si="22"/>
        <v>1963.5</v>
      </c>
      <c r="H265" s="49"/>
      <c r="I265" s="19">
        <v>6.3E-2</v>
      </c>
    </row>
    <row r="266" spans="1:9" x14ac:dyDescent="0.25">
      <c r="A266" s="4">
        <f t="shared" si="21"/>
        <v>22</v>
      </c>
      <c r="B266" s="8">
        <f t="shared" si="20"/>
        <v>264</v>
      </c>
      <c r="C266" s="34">
        <f>SUM(D$3:D266)/D$1</f>
        <v>0.62734900814326122</v>
      </c>
      <c r="D266" s="10">
        <f t="shared" si="23"/>
        <v>2532.7629118994073</v>
      </c>
      <c r="E266" s="53">
        <f>((((1-F$1)*D$1)-SUM(D$3:D265)+((F$1)*D$1))*(I266/12))</f>
        <v>1676.2520564481686</v>
      </c>
      <c r="F266" s="10">
        <f t="shared" si="24"/>
        <v>4209.0149683475756</v>
      </c>
      <c r="G266" s="10">
        <f t="shared" si="22"/>
        <v>1963.5</v>
      </c>
      <c r="H266" s="49"/>
      <c r="I266" s="19">
        <v>6.3E-2</v>
      </c>
    </row>
    <row r="267" spans="1:9" x14ac:dyDescent="0.25">
      <c r="A267" s="4">
        <f t="shared" si="21"/>
        <v>23</v>
      </c>
      <c r="B267" s="8">
        <f t="shared" si="20"/>
        <v>265</v>
      </c>
      <c r="C267" s="34">
        <f>SUM(D$3:D267)/D$1</f>
        <v>0.6303443727517164</v>
      </c>
      <c r="D267" s="10">
        <f t="shared" si="23"/>
        <v>2546.0599171868789</v>
      </c>
      <c r="E267" s="53">
        <f>((((1-F$1)*D$1)-SUM(D$3:D266)+((F$1)*D$1))*(I267/12))</f>
        <v>1662.9550511606967</v>
      </c>
      <c r="F267" s="10">
        <f t="shared" si="24"/>
        <v>4209.0149683475756</v>
      </c>
      <c r="G267" s="10">
        <f t="shared" si="22"/>
        <v>1963.5</v>
      </c>
      <c r="H267" s="49"/>
      <c r="I267" s="19">
        <v>6.3E-2</v>
      </c>
    </row>
    <row r="268" spans="1:9" x14ac:dyDescent="0.25">
      <c r="A268" s="4">
        <f t="shared" si="21"/>
        <v>23</v>
      </c>
      <c r="B268" s="8">
        <f t="shared" si="20"/>
        <v>266</v>
      </c>
      <c r="C268" s="34">
        <f>SUM(D$3:D268)/D$1</f>
        <v>0.63335546302436596</v>
      </c>
      <c r="D268" s="10">
        <f t="shared" si="23"/>
        <v>2559.4267317521098</v>
      </c>
      <c r="E268" s="53">
        <f>((((1-F$1)*D$1)-SUM(D$3:D267)+((F$1)*D$1))*(I268/12))</f>
        <v>1649.5882365954658</v>
      </c>
      <c r="F268" s="10">
        <f t="shared" si="24"/>
        <v>4209.0149683475756</v>
      </c>
      <c r="G268" s="10">
        <f t="shared" si="22"/>
        <v>1963.5</v>
      </c>
      <c r="H268" s="49"/>
      <c r="I268" s="19">
        <v>6.3E-2</v>
      </c>
    </row>
    <row r="269" spans="1:9" x14ac:dyDescent="0.25">
      <c r="A269" s="4">
        <f t="shared" si="21"/>
        <v>23</v>
      </c>
      <c r="B269" s="8">
        <f t="shared" si="20"/>
        <v>267</v>
      </c>
      <c r="C269" s="34">
        <f>SUM(D$3:D269)/D$1</f>
        <v>0.63638236152094674</v>
      </c>
      <c r="D269" s="10">
        <f t="shared" si="23"/>
        <v>2572.8637220938081</v>
      </c>
      <c r="E269" s="53">
        <f>((((1-F$1)*D$1)-SUM(D$3:D268)+((F$1)*D$1))*(I269/12))</f>
        <v>1636.1512462537673</v>
      </c>
      <c r="F269" s="10">
        <f t="shared" si="24"/>
        <v>4209.0149683475756</v>
      </c>
      <c r="G269" s="10">
        <f t="shared" si="22"/>
        <v>1963.5</v>
      </c>
      <c r="H269" s="49"/>
      <c r="I269" s="19">
        <v>6.3E-2</v>
      </c>
    </row>
    <row r="270" spans="1:9" x14ac:dyDescent="0.25">
      <c r="A270" s="4">
        <f t="shared" si="21"/>
        <v>23</v>
      </c>
      <c r="B270" s="8">
        <f t="shared" si="20"/>
        <v>268</v>
      </c>
      <c r="C270" s="34">
        <f>SUM(D$3:D270)/D$1</f>
        <v>0.63942515123463484</v>
      </c>
      <c r="D270" s="10">
        <f t="shared" si="23"/>
        <v>2586.3712566348004</v>
      </c>
      <c r="E270" s="53">
        <f>((((1-F$1)*D$1)-SUM(D$3:D269)+((F$1)*D$1))*(I270/12))</f>
        <v>1622.643711712775</v>
      </c>
      <c r="F270" s="10">
        <f t="shared" si="24"/>
        <v>4209.0149683475756</v>
      </c>
      <c r="G270" s="10">
        <f t="shared" si="22"/>
        <v>1963.5</v>
      </c>
      <c r="H270" s="49"/>
      <c r="I270" s="19">
        <v>6.3E-2</v>
      </c>
    </row>
    <row r="271" spans="1:9" x14ac:dyDescent="0.25">
      <c r="A271" s="4">
        <f t="shared" si="21"/>
        <v>23</v>
      </c>
      <c r="B271" s="8">
        <f t="shared" si="20"/>
        <v>269</v>
      </c>
      <c r="C271" s="34">
        <f>SUM(D$3:D271)/D$1</f>
        <v>0.64248391559431972</v>
      </c>
      <c r="D271" s="10">
        <f t="shared" si="23"/>
        <v>2599.9497057321332</v>
      </c>
      <c r="E271" s="53">
        <f>((((1-F$1)*D$1)-SUM(D$3:D270)+((F$1)*D$1))*(I271/12))</f>
        <v>1609.0652626154422</v>
      </c>
      <c r="F271" s="10">
        <f t="shared" si="24"/>
        <v>4209.0149683475756</v>
      </c>
      <c r="G271" s="10">
        <f t="shared" si="22"/>
        <v>1963.5</v>
      </c>
      <c r="H271" s="49"/>
      <c r="I271" s="19">
        <v>6.3E-2</v>
      </c>
    </row>
    <row r="272" spans="1:9" x14ac:dyDescent="0.25">
      <c r="A272" s="4">
        <f t="shared" si="21"/>
        <v>23</v>
      </c>
      <c r="B272" s="8">
        <f t="shared" si="20"/>
        <v>270</v>
      </c>
      <c r="C272" s="34">
        <f>SUM(D$3:D272)/D$1</f>
        <v>0.64555873846689293</v>
      </c>
      <c r="D272" s="10">
        <f t="shared" si="23"/>
        <v>2613.5994416872272</v>
      </c>
      <c r="E272" s="53">
        <f>((((1-F$1)*D$1)-SUM(D$3:D271)+((F$1)*D$1))*(I272/12))</f>
        <v>1595.4155266603484</v>
      </c>
      <c r="F272" s="10">
        <f t="shared" si="24"/>
        <v>4209.0149683475756</v>
      </c>
      <c r="G272" s="10">
        <f t="shared" si="22"/>
        <v>1963.5</v>
      </c>
      <c r="H272" s="49"/>
      <c r="I272" s="19">
        <v>6.3E-2</v>
      </c>
    </row>
    <row r="273" spans="1:9" x14ac:dyDescent="0.25">
      <c r="A273" s="4">
        <f t="shared" si="21"/>
        <v>23</v>
      </c>
      <c r="B273" s="8">
        <f t="shared" si="20"/>
        <v>271</v>
      </c>
      <c r="C273" s="34">
        <f>SUM(D$3:D273)/D$1</f>
        <v>0.64864970415954715</v>
      </c>
      <c r="D273" s="10">
        <f t="shared" si="23"/>
        <v>2627.3208387560853</v>
      </c>
      <c r="E273" s="53">
        <f>((((1-F$1)*D$1)-SUM(D$3:D272)+((F$1)*D$1))*(I273/12))</f>
        <v>1581.6941295914903</v>
      </c>
      <c r="F273" s="10">
        <f t="shared" si="24"/>
        <v>4209.0149683475756</v>
      </c>
      <c r="G273" s="10">
        <f t="shared" si="22"/>
        <v>1963.5</v>
      </c>
      <c r="H273" s="49"/>
      <c r="I273" s="19">
        <v>6.3E-2</v>
      </c>
    </row>
    <row r="274" spans="1:9" x14ac:dyDescent="0.25">
      <c r="A274" s="4">
        <f t="shared" si="21"/>
        <v>23</v>
      </c>
      <c r="B274" s="8">
        <f t="shared" si="20"/>
        <v>272</v>
      </c>
      <c r="C274" s="34">
        <f>SUM(D$3:D274)/D$1</f>
        <v>0.65175689742208776</v>
      </c>
      <c r="D274" s="10">
        <f t="shared" si="23"/>
        <v>2641.1142731595546</v>
      </c>
      <c r="E274" s="53">
        <f>((((1-F$1)*D$1)-SUM(D$3:D273)+((F$1)*D$1))*(I274/12))</f>
        <v>1567.900695188021</v>
      </c>
      <c r="F274" s="10">
        <f t="shared" si="24"/>
        <v>4209.0149683475756</v>
      </c>
      <c r="G274" s="10">
        <f t="shared" si="22"/>
        <v>1963.5</v>
      </c>
      <c r="H274" s="49"/>
      <c r="I274" s="19">
        <v>6.3E-2</v>
      </c>
    </row>
    <row r="275" spans="1:9" x14ac:dyDescent="0.25">
      <c r="A275" s="4">
        <f t="shared" si="21"/>
        <v>23</v>
      </c>
      <c r="B275" s="8">
        <f t="shared" si="20"/>
        <v>273</v>
      </c>
      <c r="C275" s="34">
        <f>SUM(D$3:D275)/D$1</f>
        <v>0.65488040344925669</v>
      </c>
      <c r="D275" s="10">
        <f t="shared" si="23"/>
        <v>2654.9801230936419</v>
      </c>
      <c r="E275" s="53">
        <f>((((1-F$1)*D$1)-SUM(D$3:D274)+((F$1)*D$1))*(I275/12))</f>
        <v>1554.0348452539336</v>
      </c>
      <c r="F275" s="10">
        <f t="shared" si="24"/>
        <v>4209.0149683475756</v>
      </c>
      <c r="G275" s="10">
        <f t="shared" si="22"/>
        <v>1963.5</v>
      </c>
      <c r="H275" s="49"/>
      <c r="I275" s="19">
        <v>6.3E-2</v>
      </c>
    </row>
    <row r="276" spans="1:9" x14ac:dyDescent="0.25">
      <c r="A276" s="4">
        <f t="shared" si="21"/>
        <v>23</v>
      </c>
      <c r="B276" s="8">
        <f t="shared" si="20"/>
        <v>274</v>
      </c>
      <c r="C276" s="34">
        <f>SUM(D$3:D276)/D$1</f>
        <v>0.65802030788306831</v>
      </c>
      <c r="D276" s="10">
        <f t="shared" si="23"/>
        <v>2668.9187687398835</v>
      </c>
      <c r="E276" s="53">
        <f>((((1-F$1)*D$1)-SUM(D$3:D275)+((F$1)*D$1))*(I276/12))</f>
        <v>1540.0961996076924</v>
      </c>
      <c r="F276" s="10">
        <f t="shared" si="24"/>
        <v>4209.0149683475756</v>
      </c>
      <c r="G276" s="10">
        <f t="shared" si="22"/>
        <v>1963.5</v>
      </c>
      <c r="H276" s="49"/>
      <c r="I276" s="19">
        <v>6.3E-2</v>
      </c>
    </row>
    <row r="277" spans="1:9" x14ac:dyDescent="0.25">
      <c r="A277" s="4">
        <f t="shared" si="21"/>
        <v>23</v>
      </c>
      <c r="B277" s="8">
        <f t="shared" si="20"/>
        <v>275</v>
      </c>
      <c r="C277" s="34">
        <f>SUM(D$3:D277)/D$1</f>
        <v>0.66117669681515745</v>
      </c>
      <c r="D277" s="10">
        <f t="shared" si="23"/>
        <v>2682.9305922757676</v>
      </c>
      <c r="E277" s="53">
        <f>((((1-F$1)*D$1)-SUM(D$3:D276)+((F$1)*D$1))*(I277/12))</f>
        <v>1526.0843760718078</v>
      </c>
      <c r="F277" s="10">
        <f t="shared" si="24"/>
        <v>4209.0149683475756</v>
      </c>
      <c r="G277" s="10">
        <f t="shared" si="22"/>
        <v>1963.5</v>
      </c>
      <c r="H277" s="49"/>
      <c r="I277" s="19">
        <v>6.3E-2</v>
      </c>
    </row>
    <row r="278" spans="1:9" x14ac:dyDescent="0.25">
      <c r="A278" s="4">
        <f t="shared" si="21"/>
        <v>23</v>
      </c>
      <c r="B278" s="8">
        <f t="shared" si="20"/>
        <v>276</v>
      </c>
      <c r="C278" s="34">
        <f>SUM(D$3:D278)/D$1</f>
        <v>0.66434965678914015</v>
      </c>
      <c r="D278" s="10">
        <f t="shared" si="23"/>
        <v>2697.0159778852158</v>
      </c>
      <c r="E278" s="53">
        <f>((((1-F$1)*D$1)-SUM(D$3:D277)+((F$1)*D$1))*(I278/12))</f>
        <v>1511.9989904623596</v>
      </c>
      <c r="F278" s="10">
        <f t="shared" si="24"/>
        <v>4209.0149683475756</v>
      </c>
      <c r="G278" s="10">
        <f t="shared" si="22"/>
        <v>1963.5</v>
      </c>
      <c r="H278" s="49"/>
      <c r="I278" s="19">
        <v>6.3E-2</v>
      </c>
    </row>
    <row r="279" spans="1:9" x14ac:dyDescent="0.25">
      <c r="A279" s="4">
        <f t="shared" si="21"/>
        <v>24</v>
      </c>
      <c r="B279" s="8">
        <f t="shared" si="20"/>
        <v>277</v>
      </c>
      <c r="C279" s="34">
        <f>SUM(D$3:D279)/D$1</f>
        <v>0.66753927480298614</v>
      </c>
      <c r="D279" s="10">
        <f t="shared" si="23"/>
        <v>2711.1753117691133</v>
      </c>
      <c r="E279" s="53">
        <f>((((1-F$1)*D$1)-SUM(D$3:D278)+((F$1)*D$1))*(I279/12))</f>
        <v>1497.8396565784624</v>
      </c>
      <c r="F279" s="10">
        <f t="shared" si="24"/>
        <v>4209.0149683475756</v>
      </c>
      <c r="G279" s="10">
        <f t="shared" si="22"/>
        <v>1963.5</v>
      </c>
      <c r="H279" s="49"/>
      <c r="I279" s="19">
        <v>6.3E-2</v>
      </c>
    </row>
    <row r="280" spans="1:9" x14ac:dyDescent="0.25">
      <c r="A280" s="4">
        <f t="shared" si="21"/>
        <v>24</v>
      </c>
      <c r="B280" s="8">
        <f t="shared" si="20"/>
        <v>278</v>
      </c>
      <c r="C280" s="34">
        <f>SUM(D$3:D280)/D$1</f>
        <v>0.67074563831140477</v>
      </c>
      <c r="D280" s="10">
        <f t="shared" si="23"/>
        <v>2725.408982155901</v>
      </c>
      <c r="E280" s="53">
        <f>((((1-F$1)*D$1)-SUM(D$3:D279)+((F$1)*D$1))*(I280/12))</f>
        <v>1483.6059861916744</v>
      </c>
      <c r="F280" s="10">
        <f t="shared" si="24"/>
        <v>4209.0149683475756</v>
      </c>
      <c r="G280" s="10">
        <f t="shared" si="22"/>
        <v>1963.5</v>
      </c>
      <c r="H280" s="49"/>
      <c r="I280" s="19">
        <v>6.3E-2</v>
      </c>
    </row>
    <row r="281" spans="1:9" x14ac:dyDescent="0.25">
      <c r="A281" s="4">
        <f t="shared" si="21"/>
        <v>24</v>
      </c>
      <c r="B281" s="8">
        <f t="shared" si="20"/>
        <v>279</v>
      </c>
      <c r="C281" s="34">
        <f>SUM(D$3:D281)/D$1</f>
        <v>0.6739688352282428</v>
      </c>
      <c r="D281" s="10">
        <f t="shared" si="23"/>
        <v>2739.7173793122192</v>
      </c>
      <c r="E281" s="53">
        <f>((((1-F$1)*D$1)-SUM(D$3:D280)+((F$1)*D$1))*(I281/12))</f>
        <v>1469.2975890353562</v>
      </c>
      <c r="F281" s="10">
        <f t="shared" si="24"/>
        <v>4209.0149683475756</v>
      </c>
      <c r="G281" s="10">
        <f t="shared" si="22"/>
        <v>1963.5</v>
      </c>
      <c r="H281" s="49"/>
      <c r="I281" s="19">
        <v>6.3E-2</v>
      </c>
    </row>
    <row r="282" spans="1:9" x14ac:dyDescent="0.25">
      <c r="A282" s="4">
        <f t="shared" si="21"/>
        <v>24</v>
      </c>
      <c r="B282" s="8">
        <f t="shared" si="20"/>
        <v>280</v>
      </c>
      <c r="C282" s="34">
        <f>SUM(D$3:D282)/D$1</f>
        <v>0.67720895392889402</v>
      </c>
      <c r="D282" s="10">
        <f t="shared" si="23"/>
        <v>2754.100895553609</v>
      </c>
      <c r="E282" s="53">
        <f>((((1-F$1)*D$1)-SUM(D$3:D281)+((F$1)*D$1))*(I282/12))</f>
        <v>1454.9140727939669</v>
      </c>
      <c r="F282" s="10">
        <f t="shared" si="24"/>
        <v>4209.0149683475756</v>
      </c>
      <c r="G282" s="10">
        <f t="shared" si="22"/>
        <v>1963.5</v>
      </c>
      <c r="H282" s="49"/>
      <c r="I282" s="19">
        <v>6.3E-2</v>
      </c>
    </row>
    <row r="283" spans="1:9" x14ac:dyDescent="0.25">
      <c r="A283" s="4">
        <f t="shared" si="21"/>
        <v>24</v>
      </c>
      <c r="B283" s="8">
        <f t="shared" si="20"/>
        <v>281</v>
      </c>
      <c r="C283" s="34">
        <f>SUM(D$3:D283)/D$1</f>
        <v>0.68046608325272373</v>
      </c>
      <c r="D283" s="10">
        <f t="shared" si="23"/>
        <v>2768.5599252552652</v>
      </c>
      <c r="E283" s="53">
        <f>((((1-F$1)*D$1)-SUM(D$3:D282)+((F$1)*D$1))*(I283/12))</f>
        <v>1440.4550430923105</v>
      </c>
      <c r="F283" s="10">
        <f t="shared" si="24"/>
        <v>4209.0149683475756</v>
      </c>
      <c r="G283" s="10">
        <f t="shared" si="22"/>
        <v>1963.5</v>
      </c>
      <c r="H283" s="49"/>
      <c r="I283" s="19">
        <v>6.3E-2</v>
      </c>
    </row>
    <row r="284" spans="1:9" x14ac:dyDescent="0.25">
      <c r="A284" s="4">
        <f t="shared" si="21"/>
        <v>24</v>
      </c>
      <c r="B284" s="8">
        <f t="shared" si="20"/>
        <v>282</v>
      </c>
      <c r="C284" s="34">
        <f>SUM(D$3:D284)/D$1</f>
        <v>0.6837403125055036</v>
      </c>
      <c r="D284" s="10">
        <f t="shared" si="23"/>
        <v>2783.0948648628555</v>
      </c>
      <c r="E284" s="53">
        <f>((((1-F$1)*D$1)-SUM(D$3:D283)+((F$1)*D$1))*(I284/12))</f>
        <v>1425.9201034847204</v>
      </c>
      <c r="F284" s="10">
        <f t="shared" si="24"/>
        <v>4209.0149683475756</v>
      </c>
      <c r="G284" s="10">
        <f t="shared" si="22"/>
        <v>1963.5</v>
      </c>
      <c r="H284" s="49"/>
      <c r="I284" s="19">
        <v>6.3E-2</v>
      </c>
    </row>
    <row r="285" spans="1:9" x14ac:dyDescent="0.25">
      <c r="A285" s="4">
        <f t="shared" si="21"/>
        <v>24</v>
      </c>
      <c r="B285" s="8">
        <f t="shared" si="20"/>
        <v>283</v>
      </c>
      <c r="C285" s="34">
        <f>SUM(D$3:D285)/D$1</f>
        <v>0.68703173146186058</v>
      </c>
      <c r="D285" s="10">
        <f t="shared" si="23"/>
        <v>2797.7061129033855</v>
      </c>
      <c r="E285" s="53">
        <f>((((1-F$1)*D$1)-SUM(D$3:D284)+((F$1)*D$1))*(I285/12))</f>
        <v>1411.3088554441904</v>
      </c>
      <c r="F285" s="10">
        <f t="shared" si="24"/>
        <v>4209.0149683475756</v>
      </c>
      <c r="G285" s="10">
        <f t="shared" si="22"/>
        <v>1963.5</v>
      </c>
      <c r="H285" s="49"/>
      <c r="I285" s="19">
        <v>6.3E-2</v>
      </c>
    </row>
    <row r="286" spans="1:9" x14ac:dyDescent="0.25">
      <c r="A286" s="4">
        <f t="shared" si="21"/>
        <v>24</v>
      </c>
      <c r="B286" s="8">
        <f t="shared" si="20"/>
        <v>284</v>
      </c>
      <c r="C286" s="34">
        <f>SUM(D$3:D286)/D$1</f>
        <v>0.69034043036773829</v>
      </c>
      <c r="D286" s="10">
        <f t="shared" si="23"/>
        <v>2812.3940699961281</v>
      </c>
      <c r="E286" s="53">
        <f>((((1-F$1)*D$1)-SUM(D$3:D285)+((F$1)*D$1))*(I286/12))</f>
        <v>1396.6208983514475</v>
      </c>
      <c r="F286" s="10">
        <f t="shared" si="24"/>
        <v>4209.0149683475756</v>
      </c>
      <c r="G286" s="10">
        <f t="shared" si="22"/>
        <v>1963.5</v>
      </c>
      <c r="H286" s="49"/>
      <c r="I286" s="19">
        <v>6.3E-2</v>
      </c>
    </row>
    <row r="287" spans="1:9" x14ac:dyDescent="0.25">
      <c r="A287" s="4">
        <f t="shared" si="21"/>
        <v>24</v>
      </c>
      <c r="B287" s="8">
        <f t="shared" si="20"/>
        <v>285</v>
      </c>
      <c r="C287" s="34">
        <f>SUM(D$3:D287)/D$1</f>
        <v>0.69366649994287188</v>
      </c>
      <c r="D287" s="10">
        <f t="shared" si="23"/>
        <v>2827.159138863608</v>
      </c>
      <c r="E287" s="53">
        <f>((((1-F$1)*D$1)-SUM(D$3:D286)+((F$1)*D$1))*(I287/12))</f>
        <v>1381.8558294839679</v>
      </c>
      <c r="F287" s="10">
        <f t="shared" si="24"/>
        <v>4209.0149683475756</v>
      </c>
      <c r="G287" s="10">
        <f t="shared" si="22"/>
        <v>1963.5</v>
      </c>
      <c r="H287" s="49"/>
      <c r="I287" s="19">
        <v>6.3E-2</v>
      </c>
    </row>
    <row r="288" spans="1:9" x14ac:dyDescent="0.25">
      <c r="A288" s="4">
        <f t="shared" si="21"/>
        <v>24</v>
      </c>
      <c r="B288" s="8">
        <f t="shared" si="20"/>
        <v>286</v>
      </c>
      <c r="C288" s="34">
        <f>SUM(D$3:D288)/D$1</f>
        <v>0.69701003138327511</v>
      </c>
      <c r="D288" s="10">
        <f t="shared" si="23"/>
        <v>2842.0017243426414</v>
      </c>
      <c r="E288" s="53">
        <f>((((1-F$1)*D$1)-SUM(D$3:D287)+((F$1)*D$1))*(I288/12))</f>
        <v>1367.0132440049342</v>
      </c>
      <c r="F288" s="10">
        <f t="shared" si="24"/>
        <v>4209.0149683475756</v>
      </c>
      <c r="G288" s="10">
        <f t="shared" si="22"/>
        <v>1963.5</v>
      </c>
      <c r="H288" s="49"/>
      <c r="I288" s="19">
        <v>6.3E-2</v>
      </c>
    </row>
    <row r="289" spans="1:9" x14ac:dyDescent="0.25">
      <c r="A289" s="4">
        <f t="shared" si="21"/>
        <v>24</v>
      </c>
      <c r="B289" s="8">
        <f t="shared" ref="B289:B352" si="25">B288+1</f>
        <v>287</v>
      </c>
      <c r="C289" s="34">
        <f>SUM(D$3:D289)/D$1</f>
        <v>0.70037111636374028</v>
      </c>
      <c r="D289" s="10">
        <f t="shared" si="23"/>
        <v>2856.9222333954403</v>
      </c>
      <c r="E289" s="53">
        <f>((((1-F$1)*D$1)-SUM(D$3:D288)+((F$1)*D$1))*(I289/12))</f>
        <v>1352.0927349521351</v>
      </c>
      <c r="F289" s="10">
        <f t="shared" si="24"/>
        <v>4209.0149683475756</v>
      </c>
      <c r="G289" s="10">
        <f t="shared" si="22"/>
        <v>1963.5</v>
      </c>
      <c r="H289" s="49"/>
      <c r="I289" s="19">
        <v>6.3E-2</v>
      </c>
    </row>
    <row r="290" spans="1:9" x14ac:dyDescent="0.25">
      <c r="A290" s="4">
        <f t="shared" si="21"/>
        <v>24</v>
      </c>
      <c r="B290" s="8">
        <f t="shared" si="25"/>
        <v>288</v>
      </c>
      <c r="C290" s="34">
        <f>SUM(D$3:D290)/D$1</f>
        <v>0.70374984704035293</v>
      </c>
      <c r="D290" s="10">
        <f t="shared" si="23"/>
        <v>2871.9210751207665</v>
      </c>
      <c r="E290" s="53">
        <f>((((1-F$1)*D$1)-SUM(D$3:D289)+((F$1)*D$1))*(I290/12))</f>
        <v>1337.0938932268093</v>
      </c>
      <c r="F290" s="10">
        <f t="shared" si="24"/>
        <v>4209.0149683475756</v>
      </c>
      <c r="G290" s="10">
        <f t="shared" si="22"/>
        <v>1963.5</v>
      </c>
      <c r="H290" s="49"/>
      <c r="I290" s="19">
        <v>6.3E-2</v>
      </c>
    </row>
    <row r="291" spans="1:9" x14ac:dyDescent="0.25">
      <c r="A291" s="4">
        <f t="shared" si="21"/>
        <v>25</v>
      </c>
      <c r="B291" s="8">
        <f t="shared" si="25"/>
        <v>289</v>
      </c>
      <c r="C291" s="34">
        <f>SUM(D$3:D291)/D$1</f>
        <v>0.70714631605301781</v>
      </c>
      <c r="D291" s="10">
        <f t="shared" si="23"/>
        <v>2886.9986607651508</v>
      </c>
      <c r="E291" s="53">
        <f>((((1-F$1)*D$1)-SUM(D$3:D290)+((F$1)*D$1))*(I291/12))</f>
        <v>1322.016307582425</v>
      </c>
      <c r="F291" s="10">
        <f t="shared" si="24"/>
        <v>4209.0149683475756</v>
      </c>
      <c r="G291" s="10">
        <f t="shared" si="22"/>
        <v>1963.5</v>
      </c>
      <c r="H291" s="49"/>
      <c r="I291" s="19">
        <v>6.3E-2</v>
      </c>
    </row>
    <row r="292" spans="1:9" x14ac:dyDescent="0.25">
      <c r="A292" s="4">
        <f t="shared" si="21"/>
        <v>25</v>
      </c>
      <c r="B292" s="8">
        <f t="shared" si="25"/>
        <v>290</v>
      </c>
      <c r="C292" s="34">
        <f>SUM(D$3:D292)/D$1</f>
        <v>0.71056061652799918</v>
      </c>
      <c r="D292" s="10">
        <f t="shared" si="23"/>
        <v>2902.1554037341675</v>
      </c>
      <c r="E292" s="53">
        <f>((((1-F$1)*D$1)-SUM(D$3:D291)+((F$1)*D$1))*(I292/12))</f>
        <v>1306.8595646134083</v>
      </c>
      <c r="F292" s="10">
        <f t="shared" si="24"/>
        <v>4209.0149683475756</v>
      </c>
      <c r="G292" s="10">
        <f t="shared" si="22"/>
        <v>1963.5</v>
      </c>
      <c r="H292" s="49"/>
      <c r="I292" s="19">
        <v>6.3E-2</v>
      </c>
    </row>
    <row r="293" spans="1:9" x14ac:dyDescent="0.25">
      <c r="A293" s="4">
        <f t="shared" si="21"/>
        <v>25</v>
      </c>
      <c r="B293" s="8">
        <f t="shared" si="25"/>
        <v>291</v>
      </c>
      <c r="C293" s="34">
        <f>SUM(D$3:D293)/D$1</f>
        <v>0.7139928420804742</v>
      </c>
      <c r="D293" s="10">
        <f t="shared" si="23"/>
        <v>2917.3917196037719</v>
      </c>
      <c r="E293" s="53">
        <f>((((1-F$1)*D$1)-SUM(D$3:D292)+((F$1)*D$1))*(I293/12))</f>
        <v>1291.6232487438037</v>
      </c>
      <c r="F293" s="10">
        <f t="shared" si="24"/>
        <v>4209.0149683475756</v>
      </c>
      <c r="G293" s="10">
        <f t="shared" si="22"/>
        <v>1963.5</v>
      </c>
      <c r="H293" s="49"/>
      <c r="I293" s="19">
        <v>6.3E-2</v>
      </c>
    </row>
    <row r="294" spans="1:9" x14ac:dyDescent="0.25">
      <c r="A294" s="4">
        <f t="shared" si="21"/>
        <v>25</v>
      </c>
      <c r="B294" s="8">
        <f t="shared" si="25"/>
        <v>292</v>
      </c>
      <c r="C294" s="34">
        <f>SUM(D$3:D294)/D$1</f>
        <v>0.71744308681709978</v>
      </c>
      <c r="D294" s="10">
        <f t="shared" si="23"/>
        <v>2932.7080261316919</v>
      </c>
      <c r="E294" s="53">
        <f>((((1-F$1)*D$1)-SUM(D$3:D293)+((F$1)*D$1))*(I294/12))</f>
        <v>1276.3069422158837</v>
      </c>
      <c r="F294" s="10">
        <f t="shared" si="24"/>
        <v>4209.0149683475756</v>
      </c>
      <c r="G294" s="10">
        <f t="shared" si="22"/>
        <v>1963.5</v>
      </c>
      <c r="H294" s="49"/>
      <c r="I294" s="19">
        <v>6.3E-2</v>
      </c>
    </row>
    <row r="295" spans="1:9" x14ac:dyDescent="0.25">
      <c r="A295" s="4">
        <f t="shared" si="21"/>
        <v>25</v>
      </c>
      <c r="B295" s="8">
        <f t="shared" si="25"/>
        <v>293</v>
      </c>
      <c r="C295" s="34">
        <f>SUM(D$3:D295)/D$1</f>
        <v>0.72091144533859264</v>
      </c>
      <c r="D295" s="10">
        <f t="shared" si="23"/>
        <v>2948.1047432688833</v>
      </c>
      <c r="E295" s="53">
        <f>((((1-F$1)*D$1)-SUM(D$3:D294)+((F$1)*D$1))*(I295/12))</f>
        <v>1260.9102250786923</v>
      </c>
      <c r="F295" s="10">
        <f t="shared" si="24"/>
        <v>4209.0149683475756</v>
      </c>
      <c r="G295" s="10">
        <f t="shared" si="22"/>
        <v>1963.5</v>
      </c>
      <c r="H295" s="49"/>
      <c r="I295" s="19">
        <v>6.3E-2</v>
      </c>
    </row>
    <row r="296" spans="1:9" x14ac:dyDescent="0.25">
      <c r="A296" s="4">
        <f t="shared" si="21"/>
        <v>25</v>
      </c>
      <c r="B296" s="8">
        <f t="shared" si="25"/>
        <v>294</v>
      </c>
      <c r="C296" s="34">
        <f>SUM(D$3:D296)/D$1</f>
        <v>0.72439801274232329</v>
      </c>
      <c r="D296" s="10">
        <f t="shared" si="23"/>
        <v>2963.5822931710454</v>
      </c>
      <c r="E296" s="53">
        <f>((((1-F$1)*D$1)-SUM(D$3:D295)+((F$1)*D$1))*(I296/12))</f>
        <v>1245.4326751765304</v>
      </c>
      <c r="F296" s="10">
        <f t="shared" si="24"/>
        <v>4209.0149683475756</v>
      </c>
      <c r="G296" s="10">
        <f t="shared" si="22"/>
        <v>1963.5</v>
      </c>
      <c r="H296" s="49"/>
      <c r="I296" s="19">
        <v>6.3E-2</v>
      </c>
    </row>
    <row r="297" spans="1:9" x14ac:dyDescent="0.25">
      <c r="A297" s="4">
        <f t="shared" si="21"/>
        <v>25</v>
      </c>
      <c r="B297" s="8">
        <f t="shared" si="25"/>
        <v>295</v>
      </c>
      <c r="C297" s="34">
        <f>SUM(D$3:D297)/D$1</f>
        <v>0.72790288462492347</v>
      </c>
      <c r="D297" s="10">
        <f t="shared" si="23"/>
        <v>2979.1411002101931</v>
      </c>
      <c r="E297" s="53">
        <f>((((1-F$1)*D$1)-SUM(D$3:D296)+((F$1)*D$1))*(I297/12))</f>
        <v>1229.8738681373823</v>
      </c>
      <c r="F297" s="10">
        <f t="shared" si="24"/>
        <v>4209.0149683475756</v>
      </c>
      <c r="G297" s="10">
        <f t="shared" si="22"/>
        <v>1963.5</v>
      </c>
      <c r="H297" s="49"/>
      <c r="I297" s="19">
        <v>6.3E-2</v>
      </c>
    </row>
    <row r="298" spans="1:9" x14ac:dyDescent="0.25">
      <c r="A298" s="4">
        <f t="shared" si="21"/>
        <v>25</v>
      </c>
      <c r="B298" s="8">
        <f t="shared" si="25"/>
        <v>296</v>
      </c>
      <c r="C298" s="34">
        <f>SUM(D$3:D298)/D$1</f>
        <v>0.73142615708490732</v>
      </c>
      <c r="D298" s="10">
        <f t="shared" si="23"/>
        <v>2994.7815909862966</v>
      </c>
      <c r="E298" s="53">
        <f>((((1-F$1)*D$1)-SUM(D$3:D297)+((F$1)*D$1))*(I298/12))</f>
        <v>1214.2333773612791</v>
      </c>
      <c r="F298" s="10">
        <f t="shared" si="24"/>
        <v>4209.0149683475756</v>
      </c>
      <c r="G298" s="10">
        <f t="shared" si="22"/>
        <v>1963.5</v>
      </c>
      <c r="H298" s="49"/>
      <c r="I298" s="19">
        <v>6.3E-2</v>
      </c>
    </row>
    <row r="299" spans="1:9" x14ac:dyDescent="0.25">
      <c r="A299" s="4">
        <f t="shared" si="21"/>
        <v>25</v>
      </c>
      <c r="B299" s="8">
        <f t="shared" si="25"/>
        <v>297</v>
      </c>
      <c r="C299" s="34">
        <f>SUM(D$3:D299)/D$1</f>
        <v>0.73496792672530609</v>
      </c>
      <c r="D299" s="10">
        <f t="shared" si="23"/>
        <v>3010.5041943389747</v>
      </c>
      <c r="E299" s="53">
        <f>((((1-F$1)*D$1)-SUM(D$3:D298)+((F$1)*D$1))*(I299/12))</f>
        <v>1198.5107740086009</v>
      </c>
      <c r="F299" s="10">
        <f t="shared" si="24"/>
        <v>4209.0149683475756</v>
      </c>
      <c r="G299" s="10">
        <f t="shared" si="22"/>
        <v>1963.5</v>
      </c>
      <c r="H299" s="49"/>
      <c r="I299" s="19">
        <v>6.3E-2</v>
      </c>
    </row>
    <row r="300" spans="1:9" x14ac:dyDescent="0.25">
      <c r="A300" s="4">
        <f t="shared" si="21"/>
        <v>25</v>
      </c>
      <c r="B300" s="8">
        <f t="shared" si="25"/>
        <v>298</v>
      </c>
      <c r="C300" s="34">
        <f>SUM(D$3:D300)/D$1</f>
        <v>0.73852829065631709</v>
      </c>
      <c r="D300" s="10">
        <f t="shared" si="23"/>
        <v>3026.3093413592542</v>
      </c>
      <c r="E300" s="53">
        <f>((((1-F$1)*D$1)-SUM(D$3:D299)+((F$1)*D$1))*(I300/12))</f>
        <v>1182.7056269883215</v>
      </c>
      <c r="F300" s="10">
        <f t="shared" si="24"/>
        <v>4209.0149683475756</v>
      </c>
      <c r="G300" s="10">
        <f t="shared" si="22"/>
        <v>1963.5</v>
      </c>
      <c r="H300" s="49"/>
      <c r="I300" s="19">
        <v>6.3E-2</v>
      </c>
    </row>
    <row r="301" spans="1:9" x14ac:dyDescent="0.25">
      <c r="A301" s="4">
        <f t="shared" si="21"/>
        <v>25</v>
      </c>
      <c r="B301" s="8">
        <f t="shared" si="25"/>
        <v>299</v>
      </c>
      <c r="C301" s="34">
        <f>SUM(D$3:D301)/D$1</f>
        <v>0.74210734649796573</v>
      </c>
      <c r="D301" s="10">
        <f t="shared" si="23"/>
        <v>3042.1974654013902</v>
      </c>
      <c r="E301" s="53">
        <f>((((1-F$1)*D$1)-SUM(D$3:D300)+((F$1)*D$1))*(I301/12))</f>
        <v>1166.8175029461852</v>
      </c>
      <c r="F301" s="10">
        <f t="shared" si="24"/>
        <v>4209.0149683475756</v>
      </c>
      <c r="G301" s="10">
        <f t="shared" si="22"/>
        <v>1963.5</v>
      </c>
      <c r="H301" s="49"/>
      <c r="I301" s="19">
        <v>6.3E-2</v>
      </c>
    </row>
    <row r="302" spans="1:9" x14ac:dyDescent="0.25">
      <c r="A302" s="4">
        <f t="shared" si="21"/>
        <v>25</v>
      </c>
      <c r="B302" s="8">
        <f t="shared" si="25"/>
        <v>300</v>
      </c>
      <c r="C302" s="34">
        <f>SUM(D$3:D302)/D$1</f>
        <v>0.7457051923827831</v>
      </c>
      <c r="D302" s="10">
        <f t="shared" si="23"/>
        <v>3058.1690020947476</v>
      </c>
      <c r="E302" s="53">
        <f>((((1-F$1)*D$1)-SUM(D$3:D301)+((F$1)*D$1))*(I302/12))</f>
        <v>1150.845966252828</v>
      </c>
      <c r="F302" s="10">
        <f t="shared" si="24"/>
        <v>4209.0149683475756</v>
      </c>
      <c r="G302" s="10">
        <f t="shared" si="22"/>
        <v>1963.5</v>
      </c>
      <c r="H302" s="49"/>
      <c r="I302" s="19">
        <v>6.3E-2</v>
      </c>
    </row>
    <row r="303" spans="1:9" x14ac:dyDescent="0.25">
      <c r="A303" s="4">
        <f t="shared" si="21"/>
        <v>26</v>
      </c>
      <c r="B303" s="8">
        <f t="shared" si="25"/>
        <v>301</v>
      </c>
      <c r="C303" s="34">
        <f>SUM(D$3:D303)/D$1</f>
        <v>0.74932192695849575</v>
      </c>
      <c r="D303" s="10">
        <f t="shared" si="23"/>
        <v>3074.2243893557452</v>
      </c>
      <c r="E303" s="53">
        <f>((((1-F$1)*D$1)-SUM(D$3:D302)+((F$1)*D$1))*(I303/12))</f>
        <v>1134.7905789918304</v>
      </c>
      <c r="F303" s="10">
        <f t="shared" si="24"/>
        <v>4209.0149683475756</v>
      </c>
      <c r="G303" s="10">
        <f t="shared" si="22"/>
        <v>1963.5</v>
      </c>
      <c r="H303" s="49"/>
      <c r="I303" s="19">
        <v>6.3E-2</v>
      </c>
    </row>
    <row r="304" spans="1:9" x14ac:dyDescent="0.25">
      <c r="A304" s="4">
        <f t="shared" si="21"/>
        <v>26</v>
      </c>
      <c r="B304" s="8">
        <f t="shared" si="25"/>
        <v>302</v>
      </c>
      <c r="C304" s="34">
        <f>SUM(D$3:D304)/D$1</f>
        <v>0.75295764939073084</v>
      </c>
      <c r="D304" s="10">
        <f t="shared" si="23"/>
        <v>3090.364067399863</v>
      </c>
      <c r="E304" s="53">
        <f>((((1-F$1)*D$1)-SUM(D$3:D303)+((F$1)*D$1))*(I304/12))</f>
        <v>1118.6509009477127</v>
      </c>
      <c r="F304" s="10">
        <f t="shared" si="24"/>
        <v>4209.0149683475756</v>
      </c>
      <c r="G304" s="10">
        <f t="shared" si="22"/>
        <v>1963.5</v>
      </c>
      <c r="H304" s="49"/>
      <c r="I304" s="19">
        <v>6.3E-2</v>
      </c>
    </row>
    <row r="305" spans="1:9" x14ac:dyDescent="0.25">
      <c r="A305" s="4">
        <f t="shared" si="21"/>
        <v>26</v>
      </c>
      <c r="B305" s="8">
        <f t="shared" si="25"/>
        <v>303</v>
      </c>
      <c r="C305" s="34">
        <f>SUM(D$3:D305)/D$1</f>
        <v>0.75661245936573529</v>
      </c>
      <c r="D305" s="10">
        <f t="shared" si="23"/>
        <v>3106.5884787537125</v>
      </c>
      <c r="E305" s="53">
        <f>((((1-F$1)*D$1)-SUM(D$3:D304)+((F$1)*D$1))*(I305/12))</f>
        <v>1102.4264895938634</v>
      </c>
      <c r="F305" s="10">
        <f t="shared" si="24"/>
        <v>4209.0149683475756</v>
      </c>
      <c r="G305" s="10">
        <f t="shared" si="22"/>
        <v>1963.5</v>
      </c>
      <c r="H305" s="49"/>
      <c r="I305" s="19">
        <v>6.3E-2</v>
      </c>
    </row>
    <row r="306" spans="1:9" x14ac:dyDescent="0.25">
      <c r="A306" s="4">
        <f t="shared" si="21"/>
        <v>26</v>
      </c>
      <c r="B306" s="8">
        <f t="shared" si="25"/>
        <v>304</v>
      </c>
      <c r="C306" s="34">
        <f>SUM(D$3:D306)/D$1</f>
        <v>0.76028645709310838</v>
      </c>
      <c r="D306" s="10">
        <f t="shared" si="23"/>
        <v>3122.898068267169</v>
      </c>
      <c r="E306" s="53">
        <f>((((1-F$1)*D$1)-SUM(D$3:D305)+((F$1)*D$1))*(I306/12))</f>
        <v>1086.1169000804066</v>
      </c>
      <c r="F306" s="10">
        <f t="shared" si="24"/>
        <v>4209.0149683475756</v>
      </c>
      <c r="G306" s="10">
        <f t="shared" si="22"/>
        <v>1963.5</v>
      </c>
      <c r="H306" s="49"/>
      <c r="I306" s="19">
        <v>6.3E-2</v>
      </c>
    </row>
    <row r="307" spans="1:9" x14ac:dyDescent="0.25">
      <c r="A307" s="4">
        <f t="shared" si="21"/>
        <v>26</v>
      </c>
      <c r="B307" s="8">
        <f t="shared" si="25"/>
        <v>305</v>
      </c>
      <c r="C307" s="34">
        <f>SUM(D$3:D307)/D$1</f>
        <v>0.76397974330855023</v>
      </c>
      <c r="D307" s="10">
        <f t="shared" si="23"/>
        <v>3139.2932831255716</v>
      </c>
      <c r="E307" s="53">
        <f>((((1-F$1)*D$1)-SUM(D$3:D306)+((F$1)*D$1))*(I307/12))</f>
        <v>1069.721685222004</v>
      </c>
      <c r="F307" s="10">
        <f t="shared" si="24"/>
        <v>4209.0149683475756</v>
      </c>
      <c r="G307" s="10">
        <f t="shared" si="22"/>
        <v>1963.5</v>
      </c>
      <c r="H307" s="49"/>
      <c r="I307" s="19">
        <v>6.3E-2</v>
      </c>
    </row>
    <row r="308" spans="1:9" x14ac:dyDescent="0.25">
      <c r="A308" s="4">
        <f t="shared" si="21"/>
        <v>26</v>
      </c>
      <c r="B308" s="8">
        <f t="shared" si="25"/>
        <v>306</v>
      </c>
      <c r="C308" s="34">
        <f>SUM(D$3:D308)/D$1</f>
        <v>0.76769241927662313</v>
      </c>
      <c r="D308" s="10">
        <f t="shared" si="23"/>
        <v>3155.7745728619811</v>
      </c>
      <c r="E308" s="53">
        <f>((((1-F$1)*D$1)-SUM(D$3:D307)+((F$1)*D$1))*(I308/12))</f>
        <v>1053.2403954855945</v>
      </c>
      <c r="F308" s="10">
        <f t="shared" si="24"/>
        <v>4209.0149683475756</v>
      </c>
      <c r="G308" s="10">
        <f t="shared" si="22"/>
        <v>1963.5</v>
      </c>
      <c r="H308" s="49"/>
      <c r="I308" s="19">
        <v>6.3E-2</v>
      </c>
    </row>
    <row r="309" spans="1:9" x14ac:dyDescent="0.25">
      <c r="A309" s="4">
        <f t="shared" si="21"/>
        <v>26</v>
      </c>
      <c r="B309" s="8">
        <f t="shared" si="25"/>
        <v>307</v>
      </c>
      <c r="C309" s="34">
        <f>SUM(D$3:D309)/D$1</f>
        <v>0.77142458679352843</v>
      </c>
      <c r="D309" s="10">
        <f t="shared" si="23"/>
        <v>3172.3423893695062</v>
      </c>
      <c r="E309" s="53">
        <f>((((1-F$1)*D$1)-SUM(D$3:D308)+((F$1)*D$1))*(I309/12))</f>
        <v>1036.6725789780692</v>
      </c>
      <c r="F309" s="10">
        <f t="shared" si="24"/>
        <v>4209.0149683475756</v>
      </c>
      <c r="G309" s="10">
        <f t="shared" si="22"/>
        <v>1963.5</v>
      </c>
      <c r="H309" s="49"/>
      <c r="I309" s="19">
        <v>6.3E-2</v>
      </c>
    </row>
    <row r="310" spans="1:9" x14ac:dyDescent="0.25">
      <c r="A310" s="4">
        <f t="shared" si="21"/>
        <v>26</v>
      </c>
      <c r="B310" s="8">
        <f t="shared" si="25"/>
        <v>308</v>
      </c>
      <c r="C310" s="34">
        <f>SUM(D$3:D310)/D$1</f>
        <v>0.77517634818989756</v>
      </c>
      <c r="D310" s="10">
        <f t="shared" si="23"/>
        <v>3188.9971869136962</v>
      </c>
      <c r="E310" s="53">
        <f>((((1-F$1)*D$1)-SUM(D$3:D309)+((F$1)*D$1))*(I310/12))</f>
        <v>1020.0177814338793</v>
      </c>
      <c r="F310" s="10">
        <f t="shared" si="24"/>
        <v>4209.0149683475756</v>
      </c>
      <c r="G310" s="10">
        <f t="shared" si="22"/>
        <v>1963.5</v>
      </c>
      <c r="H310" s="49"/>
      <c r="I310" s="19">
        <v>6.3E-2</v>
      </c>
    </row>
    <row r="311" spans="1:9" x14ac:dyDescent="0.25">
      <c r="A311" s="4">
        <f t="shared" si="21"/>
        <v>26</v>
      </c>
      <c r="B311" s="8">
        <f t="shared" si="25"/>
        <v>309</v>
      </c>
      <c r="C311" s="34">
        <f>SUM(D$3:D311)/D$1</f>
        <v>0.7789478063335975</v>
      </c>
      <c r="D311" s="10">
        <f t="shared" si="23"/>
        <v>3205.7394221449936</v>
      </c>
      <c r="E311" s="53">
        <f>((((1-F$1)*D$1)-SUM(D$3:D310)+((F$1)*D$1))*(I311/12))</f>
        <v>1003.2755462025822</v>
      </c>
      <c r="F311" s="10">
        <f t="shared" si="24"/>
        <v>4209.0149683475756</v>
      </c>
      <c r="G311" s="10">
        <f t="shared" si="22"/>
        <v>1963.5</v>
      </c>
      <c r="H311" s="49"/>
      <c r="I311" s="19">
        <v>6.3E-2</v>
      </c>
    </row>
    <row r="312" spans="1:9" x14ac:dyDescent="0.25">
      <c r="A312" s="4">
        <f t="shared" si="21"/>
        <v>26</v>
      </c>
      <c r="B312" s="8">
        <f t="shared" si="25"/>
        <v>310</v>
      </c>
      <c r="C312" s="34">
        <f>SUM(D$3:D312)/D$1</f>
        <v>0.78273906463255183</v>
      </c>
      <c r="D312" s="10">
        <f t="shared" si="23"/>
        <v>3222.5695541112545</v>
      </c>
      <c r="E312" s="53">
        <f>((((1-F$1)*D$1)-SUM(D$3:D311)+((F$1)*D$1))*(I312/12))</f>
        <v>986.4454142363212</v>
      </c>
      <c r="F312" s="10">
        <f t="shared" si="24"/>
        <v>4209.0149683475756</v>
      </c>
      <c r="G312" s="10">
        <f t="shared" si="22"/>
        <v>1963.5</v>
      </c>
      <c r="H312" s="49"/>
      <c r="I312" s="19">
        <v>6.3E-2</v>
      </c>
    </row>
    <row r="313" spans="1:9" x14ac:dyDescent="0.25">
      <c r="A313" s="4">
        <f t="shared" si="21"/>
        <v>26</v>
      </c>
      <c r="B313" s="8">
        <f t="shared" si="25"/>
        <v>311</v>
      </c>
      <c r="C313" s="34">
        <f>SUM(D$3:D313)/D$1</f>
        <v>0.78655022703757582</v>
      </c>
      <c r="D313" s="10">
        <f t="shared" si="23"/>
        <v>3239.4880442703384</v>
      </c>
      <c r="E313" s="53">
        <f>((((1-F$1)*D$1)-SUM(D$3:D312)+((F$1)*D$1))*(I313/12))</f>
        <v>969.52692407723725</v>
      </c>
      <c r="F313" s="10">
        <f t="shared" si="24"/>
        <v>4209.0149683475756</v>
      </c>
      <c r="G313" s="10">
        <f t="shared" si="22"/>
        <v>1963.5</v>
      </c>
      <c r="H313" s="49"/>
      <c r="I313" s="19">
        <v>6.3E-2</v>
      </c>
    </row>
    <row r="314" spans="1:9" x14ac:dyDescent="0.25">
      <c r="A314" s="4">
        <f t="shared" si="21"/>
        <v>26</v>
      </c>
      <c r="B314" s="8">
        <f t="shared" si="25"/>
        <v>312</v>
      </c>
      <c r="C314" s="34">
        <f>SUM(D$3:D314)/D$1</f>
        <v>0.790381398045226</v>
      </c>
      <c r="D314" s="10">
        <f t="shared" si="23"/>
        <v>3256.4953565027577</v>
      </c>
      <c r="E314" s="53">
        <f>((((1-F$1)*D$1)-SUM(D$3:D313)+((F$1)*D$1))*(I314/12))</f>
        <v>952.51961184481809</v>
      </c>
      <c r="F314" s="10">
        <f t="shared" si="24"/>
        <v>4209.0149683475756</v>
      </c>
      <c r="G314" s="10">
        <f t="shared" si="22"/>
        <v>1963.5</v>
      </c>
      <c r="H314" s="49"/>
      <c r="I314" s="19">
        <v>6.3E-2</v>
      </c>
    </row>
    <row r="315" spans="1:9" x14ac:dyDescent="0.25">
      <c r="A315" s="4">
        <f t="shared" si="21"/>
        <v>27</v>
      </c>
      <c r="B315" s="8">
        <f t="shared" si="25"/>
        <v>313</v>
      </c>
      <c r="C315" s="34">
        <f>SUM(D$3:D315)/D$1</f>
        <v>0.79423268270066649</v>
      </c>
      <c r="D315" s="10">
        <f t="shared" si="23"/>
        <v>3273.5919571243967</v>
      </c>
      <c r="E315" s="53">
        <f>((((1-F$1)*D$1)-SUM(D$3:D314)+((F$1)*D$1))*(I315/12))</f>
        <v>935.42301122317895</v>
      </c>
      <c r="F315" s="10">
        <f t="shared" si="24"/>
        <v>4209.0149683475756</v>
      </c>
      <c r="G315" s="10">
        <f t="shared" si="22"/>
        <v>1963.5</v>
      </c>
      <c r="H315" s="49"/>
      <c r="I315" s="19">
        <v>6.3E-2</v>
      </c>
    </row>
    <row r="316" spans="1:9" x14ac:dyDescent="0.25">
      <c r="A316" s="4">
        <f t="shared" si="21"/>
        <v>27</v>
      </c>
      <c r="B316" s="8">
        <f t="shared" si="25"/>
        <v>314</v>
      </c>
      <c r="C316" s="34">
        <f>SUM(D$3:D316)/D$1</f>
        <v>0.79810418660054805</v>
      </c>
      <c r="D316" s="10">
        <f t="shared" si="23"/>
        <v>3290.7783148992999</v>
      </c>
      <c r="E316" s="53">
        <f>((((1-F$1)*D$1)-SUM(D$3:D315)+((F$1)*D$1))*(I316/12))</f>
        <v>918.23665344827577</v>
      </c>
      <c r="F316" s="10">
        <f t="shared" si="24"/>
        <v>4209.0149683475756</v>
      </c>
      <c r="G316" s="10">
        <f t="shared" si="22"/>
        <v>1963.5</v>
      </c>
      <c r="H316" s="49"/>
      <c r="I316" s="19">
        <v>6.3E-2</v>
      </c>
    </row>
    <row r="317" spans="1:9" x14ac:dyDescent="0.25">
      <c r="A317" s="4">
        <f t="shared" si="21"/>
        <v>27</v>
      </c>
      <c r="B317" s="8">
        <f t="shared" si="25"/>
        <v>315</v>
      </c>
      <c r="C317" s="34">
        <f>SUM(D$3:D317)/D$1</f>
        <v>0.80199601589590397</v>
      </c>
      <c r="D317" s="10">
        <f t="shared" si="23"/>
        <v>3308.054901052521</v>
      </c>
      <c r="E317" s="53">
        <f>((((1-F$1)*D$1)-SUM(D$3:D316)+((F$1)*D$1))*(I317/12))</f>
        <v>900.96006729505439</v>
      </c>
      <c r="F317" s="10">
        <f t="shared" si="24"/>
        <v>4209.0149683475756</v>
      </c>
      <c r="G317" s="10">
        <f t="shared" si="22"/>
        <v>1963.5</v>
      </c>
      <c r="H317" s="49"/>
      <c r="I317" s="19">
        <v>6.3E-2</v>
      </c>
    </row>
    <row r="318" spans="1:9" x14ac:dyDescent="0.25">
      <c r="A318" s="4">
        <f t="shared" si="21"/>
        <v>27</v>
      </c>
      <c r="B318" s="8">
        <f t="shared" si="25"/>
        <v>316</v>
      </c>
      <c r="C318" s="34">
        <f>SUM(D$3:D318)/D$1</f>
        <v>0.80590827729506054</v>
      </c>
      <c r="D318" s="10">
        <f t="shared" si="23"/>
        <v>3325.4221892830469</v>
      </c>
      <c r="E318" s="53">
        <f>((((1-F$1)*D$1)-SUM(D$3:D317)+((F$1)*D$1))*(I318/12))</f>
        <v>883.59277906452871</v>
      </c>
      <c r="F318" s="10">
        <f t="shared" si="24"/>
        <v>4209.0149683475756</v>
      </c>
      <c r="G318" s="10">
        <f t="shared" si="22"/>
        <v>1963.5</v>
      </c>
      <c r="H318" s="49"/>
      <c r="I318" s="19">
        <v>6.3E-2</v>
      </c>
    </row>
    <row r="319" spans="1:9" x14ac:dyDescent="0.25">
      <c r="A319" s="4">
        <f t="shared" si="21"/>
        <v>27</v>
      </c>
      <c r="B319" s="8">
        <f t="shared" si="25"/>
        <v>317</v>
      </c>
      <c r="C319" s="34">
        <f>SUM(D$3:D319)/D$1</f>
        <v>0.80984107806656258</v>
      </c>
      <c r="D319" s="10">
        <f t="shared" si="23"/>
        <v>3342.880655776783</v>
      </c>
      <c r="E319" s="53">
        <f>((((1-F$1)*D$1)-SUM(D$3:D318)+((F$1)*D$1))*(I319/12))</f>
        <v>866.13431257079264</v>
      </c>
      <c r="F319" s="10">
        <f t="shared" si="24"/>
        <v>4209.0149683475756</v>
      </c>
      <c r="G319" s="10">
        <f t="shared" si="22"/>
        <v>1963.5</v>
      </c>
      <c r="H319" s="49"/>
      <c r="I319" s="19">
        <v>6.3E-2</v>
      </c>
    </row>
    <row r="320" spans="1:9" x14ac:dyDescent="0.25">
      <c r="A320" s="4">
        <f t="shared" si="21"/>
        <v>27</v>
      </c>
      <c r="B320" s="8">
        <f t="shared" si="25"/>
        <v>318</v>
      </c>
      <c r="C320" s="34">
        <f>SUM(D$3:D320)/D$1</f>
        <v>0.81379452604211511</v>
      </c>
      <c r="D320" s="10">
        <f t="shared" si="23"/>
        <v>3360.4307792196114</v>
      </c>
      <c r="E320" s="53">
        <f>((((1-F$1)*D$1)-SUM(D$3:D319)+((F$1)*D$1))*(I320/12))</f>
        <v>848.58418912796435</v>
      </c>
      <c r="F320" s="10">
        <f t="shared" si="24"/>
        <v>4209.0149683475756</v>
      </c>
      <c r="G320" s="10">
        <f t="shared" si="22"/>
        <v>1963.5</v>
      </c>
      <c r="H320" s="49"/>
      <c r="I320" s="19">
        <v>6.3E-2</v>
      </c>
    </row>
    <row r="321" spans="1:9" x14ac:dyDescent="0.25">
      <c r="A321" s="4">
        <f t="shared" si="21"/>
        <v>27</v>
      </c>
      <c r="B321" s="8">
        <f t="shared" si="25"/>
        <v>319</v>
      </c>
      <c r="C321" s="34">
        <f>SUM(D$3:D321)/D$1</f>
        <v>0.81776872961953928</v>
      </c>
      <c r="D321" s="10">
        <f t="shared" si="23"/>
        <v>3378.0730408105142</v>
      </c>
      <c r="E321" s="53">
        <f>((((1-F$1)*D$1)-SUM(D$3:D320)+((F$1)*D$1))*(I321/12))</f>
        <v>830.94192753706136</v>
      </c>
      <c r="F321" s="10">
        <f t="shared" si="24"/>
        <v>4209.0149683475756</v>
      </c>
      <c r="G321" s="10">
        <f t="shared" si="22"/>
        <v>1963.5</v>
      </c>
      <c r="H321" s="49"/>
      <c r="I321" s="19">
        <v>6.3E-2</v>
      </c>
    </row>
    <row r="322" spans="1:9" x14ac:dyDescent="0.25">
      <c r="A322" s="4">
        <f t="shared" si="21"/>
        <v>27</v>
      </c>
      <c r="B322" s="8">
        <f t="shared" si="25"/>
        <v>320</v>
      </c>
      <c r="C322" s="34">
        <f>SUM(D$3:D322)/D$1</f>
        <v>0.82176379776574493</v>
      </c>
      <c r="D322" s="10">
        <f t="shared" si="23"/>
        <v>3395.8079242747694</v>
      </c>
      <c r="E322" s="53">
        <f>((((1-F$1)*D$1)-SUM(D$3:D321)+((F$1)*D$1))*(I322/12))</f>
        <v>813.20704407280607</v>
      </c>
      <c r="F322" s="10">
        <f t="shared" si="24"/>
        <v>4209.0149683475756</v>
      </c>
      <c r="G322" s="10">
        <f t="shared" si="22"/>
        <v>1963.5</v>
      </c>
      <c r="H322" s="49"/>
      <c r="I322" s="19">
        <v>6.3E-2</v>
      </c>
    </row>
    <row r="323" spans="1:9" x14ac:dyDescent="0.25">
      <c r="A323" s="4">
        <f t="shared" si="21"/>
        <v>27</v>
      </c>
      <c r="B323" s="8">
        <f t="shared" si="25"/>
        <v>321</v>
      </c>
      <c r="C323" s="34">
        <f>SUM(D$3:D323)/D$1</f>
        <v>0.82577984001971805</v>
      </c>
      <c r="D323" s="10">
        <f t="shared" si="23"/>
        <v>3413.6359158772125</v>
      </c>
      <c r="E323" s="53">
        <f>((((1-F$1)*D$1)-SUM(D$3:D322)+((F$1)*D$1))*(I323/12))</f>
        <v>795.37905247036326</v>
      </c>
      <c r="F323" s="10">
        <f t="shared" si="24"/>
        <v>4209.0149683475756</v>
      </c>
      <c r="G323" s="10">
        <f t="shared" si="22"/>
        <v>1963.5</v>
      </c>
      <c r="H323" s="49"/>
      <c r="I323" s="19">
        <v>6.3E-2</v>
      </c>
    </row>
    <row r="324" spans="1:9" x14ac:dyDescent="0.25">
      <c r="A324" s="4">
        <f t="shared" ref="A324:A362" si="26">ROUNDUP(B324/12,0)</f>
        <v>27</v>
      </c>
      <c r="B324" s="8">
        <f t="shared" si="25"/>
        <v>322</v>
      </c>
      <c r="C324" s="34">
        <f>SUM(D$3:D324)/D$1</f>
        <v>0.82981696649552461</v>
      </c>
      <c r="D324" s="10">
        <f t="shared" si="23"/>
        <v>3431.5575044355674</v>
      </c>
      <c r="E324" s="53">
        <f>((((1-F$1)*D$1)-SUM(D$3:D323)+((F$1)*D$1))*(I324/12))</f>
        <v>777.45746391200805</v>
      </c>
      <c r="F324" s="10">
        <f t="shared" si="24"/>
        <v>4209.0149683475756</v>
      </c>
      <c r="G324" s="10">
        <f t="shared" ref="G324:G362" si="27">(9800+11262+2500)/12</f>
        <v>1963.5</v>
      </c>
      <c r="H324" s="49"/>
      <c r="I324" s="19">
        <v>6.3E-2</v>
      </c>
    </row>
    <row r="325" spans="1:9" x14ac:dyDescent="0.25">
      <c r="A325" s="4">
        <f t="shared" si="26"/>
        <v>27</v>
      </c>
      <c r="B325" s="8">
        <f t="shared" si="25"/>
        <v>323</v>
      </c>
      <c r="C325" s="34">
        <f>SUM(D$3:D325)/D$1</f>
        <v>0.83387528788532916</v>
      </c>
      <c r="D325" s="10">
        <f t="shared" ref="D325:D362" si="28">F325-E325</f>
        <v>3449.5731813338543</v>
      </c>
      <c r="E325" s="53">
        <f>((((1-F$1)*D$1)-SUM(D$3:D324)+((F$1)*D$1))*(I325/12))</f>
        <v>759.44178701372152</v>
      </c>
      <c r="F325" s="10">
        <f t="shared" ref="F325:F362" si="29">((1-F$1)*D$1)*(((I325/12)*((1+(I325/12))^(12*30)))/(((1+(I325/12))^(12*30))-1))</f>
        <v>4209.0149683475756</v>
      </c>
      <c r="G325" s="10">
        <f t="shared" si="27"/>
        <v>1963.5</v>
      </c>
      <c r="H325" s="49"/>
      <c r="I325" s="19">
        <v>6.3E-2</v>
      </c>
    </row>
    <row r="326" spans="1:9" x14ac:dyDescent="0.25">
      <c r="A326" s="4">
        <f t="shared" si="26"/>
        <v>27</v>
      </c>
      <c r="B326" s="8">
        <f t="shared" si="25"/>
        <v>324</v>
      </c>
      <c r="C326" s="34">
        <f>SUM(D$3:D326)/D$1</f>
        <v>0.83795491546243017</v>
      </c>
      <c r="D326" s="10">
        <f t="shared" si="28"/>
        <v>3467.6834405358568</v>
      </c>
      <c r="E326" s="53">
        <f>((((1-F$1)*D$1)-SUM(D$3:D325)+((F$1)*D$1))*(I326/12))</f>
        <v>741.33152781171884</v>
      </c>
      <c r="F326" s="10">
        <f t="shared" si="29"/>
        <v>4209.0149683475756</v>
      </c>
      <c r="G326" s="10">
        <f t="shared" si="27"/>
        <v>1963.5</v>
      </c>
      <c r="H326" s="49"/>
      <c r="I326" s="19">
        <v>6.3E-2</v>
      </c>
    </row>
    <row r="327" spans="1:9" x14ac:dyDescent="0.25">
      <c r="A327" s="4">
        <f t="shared" si="26"/>
        <v>28</v>
      </c>
      <c r="B327" s="8">
        <f t="shared" si="25"/>
        <v>325</v>
      </c>
      <c r="C327" s="34">
        <f>SUM(D$3:D327)/D$1</f>
        <v>0.84205596108431091</v>
      </c>
      <c r="D327" s="10">
        <f t="shared" si="28"/>
        <v>3485.8887785986703</v>
      </c>
      <c r="E327" s="53">
        <f>((((1-F$1)*D$1)-SUM(D$3:D326)+((F$1)*D$1))*(I327/12))</f>
        <v>723.1261897489054</v>
      </c>
      <c r="F327" s="10">
        <f t="shared" si="29"/>
        <v>4209.0149683475756</v>
      </c>
      <c r="G327" s="10">
        <f t="shared" si="27"/>
        <v>1963.5</v>
      </c>
      <c r="H327" s="49"/>
      <c r="I327" s="19">
        <v>6.3E-2</v>
      </c>
    </row>
    <row r="328" spans="1:9" x14ac:dyDescent="0.25">
      <c r="A328" s="4">
        <f t="shared" si="26"/>
        <v>28</v>
      </c>
      <c r="B328" s="8">
        <f t="shared" si="25"/>
        <v>326</v>
      </c>
      <c r="C328" s="34">
        <f>SUM(D$3:D328)/D$1</f>
        <v>0.84617853719570657</v>
      </c>
      <c r="D328" s="10">
        <f t="shared" si="28"/>
        <v>3504.189694686313</v>
      </c>
      <c r="E328" s="53">
        <f>((((1-F$1)*D$1)-SUM(D$3:D327)+((F$1)*D$1))*(I328/12))</f>
        <v>704.8252736612626</v>
      </c>
      <c r="F328" s="10">
        <f t="shared" si="29"/>
        <v>4209.0149683475756</v>
      </c>
      <c r="G328" s="10">
        <f t="shared" si="27"/>
        <v>1963.5</v>
      </c>
      <c r="H328" s="49"/>
      <c r="I328" s="19">
        <v>6.3E-2</v>
      </c>
    </row>
    <row r="329" spans="1:9" x14ac:dyDescent="0.25">
      <c r="A329" s="4">
        <f t="shared" si="26"/>
        <v>28</v>
      </c>
      <c r="B329" s="8">
        <f t="shared" si="25"/>
        <v>327</v>
      </c>
      <c r="C329" s="34">
        <f>SUM(D$3:D329)/D$1</f>
        <v>0.85032275683168701</v>
      </c>
      <c r="D329" s="10">
        <f t="shared" si="28"/>
        <v>3522.5866905834164</v>
      </c>
      <c r="E329" s="53">
        <f>((((1-F$1)*D$1)-SUM(D$3:D328)+((F$1)*D$1))*(I329/12))</f>
        <v>686.42827776415936</v>
      </c>
      <c r="F329" s="10">
        <f t="shared" si="29"/>
        <v>4209.0149683475756</v>
      </c>
      <c r="G329" s="10">
        <f t="shared" si="27"/>
        <v>1963.5</v>
      </c>
      <c r="H329" s="49"/>
      <c r="I329" s="19">
        <v>6.3E-2</v>
      </c>
    </row>
    <row r="330" spans="1:9" x14ac:dyDescent="0.25">
      <c r="A330" s="4">
        <f t="shared" si="26"/>
        <v>28</v>
      </c>
      <c r="B330" s="8">
        <f t="shared" si="25"/>
        <v>328</v>
      </c>
      <c r="C330" s="34">
        <f>SUM(D$3:D330)/D$1</f>
        <v>0.8544887336207565</v>
      </c>
      <c r="D330" s="10">
        <f t="shared" si="28"/>
        <v>3541.0802707089788</v>
      </c>
      <c r="E330" s="53">
        <f>((((1-F$1)*D$1)-SUM(D$3:D329)+((F$1)*D$1))*(I330/12))</f>
        <v>667.93469763859662</v>
      </c>
      <c r="F330" s="10">
        <f t="shared" si="29"/>
        <v>4209.0149683475756</v>
      </c>
      <c r="G330" s="10">
        <f t="shared" si="27"/>
        <v>1963.5</v>
      </c>
      <c r="H330" s="49"/>
      <c r="I330" s="19">
        <v>6.3E-2</v>
      </c>
    </row>
    <row r="331" spans="1:9" x14ac:dyDescent="0.25">
      <c r="A331" s="4">
        <f t="shared" si="26"/>
        <v>28</v>
      </c>
      <c r="B331" s="8">
        <f t="shared" si="25"/>
        <v>329</v>
      </c>
      <c r="C331" s="34">
        <f>SUM(D$3:D331)/D$1</f>
        <v>0.85867658178796846</v>
      </c>
      <c r="D331" s="10">
        <f t="shared" si="28"/>
        <v>3559.6709421302012</v>
      </c>
      <c r="E331" s="53">
        <f>((((1-F$1)*D$1)-SUM(D$3:D330)+((F$1)*D$1))*(I331/12))</f>
        <v>649.34402621737433</v>
      </c>
      <c r="F331" s="10">
        <f t="shared" si="29"/>
        <v>4209.0149683475756</v>
      </c>
      <c r="G331" s="10">
        <f t="shared" si="27"/>
        <v>1963.5</v>
      </c>
      <c r="H331" s="49"/>
      <c r="I331" s="19">
        <v>6.3E-2</v>
      </c>
    </row>
    <row r="332" spans="1:9" x14ac:dyDescent="0.25">
      <c r="A332" s="4">
        <f t="shared" si="26"/>
        <v>28</v>
      </c>
      <c r="B332" s="8">
        <f t="shared" si="25"/>
        <v>330</v>
      </c>
      <c r="C332" s="34">
        <f>SUM(D$3:D332)/D$1</f>
        <v>0.86288641615805828</v>
      </c>
      <c r="D332" s="10">
        <f t="shared" si="28"/>
        <v>3578.3592145763846</v>
      </c>
      <c r="E332" s="53">
        <f>((((1-F$1)*D$1)-SUM(D$3:D331)+((F$1)*D$1))*(I332/12))</f>
        <v>630.65575377119103</v>
      </c>
      <c r="F332" s="10">
        <f t="shared" si="29"/>
        <v>4209.0149683475756</v>
      </c>
      <c r="G332" s="10">
        <f t="shared" si="27"/>
        <v>1963.5</v>
      </c>
      <c r="H332" s="49"/>
      <c r="I332" s="19">
        <v>6.3E-2</v>
      </c>
    </row>
    <row r="333" spans="1:9" x14ac:dyDescent="0.25">
      <c r="A333" s="4">
        <f t="shared" si="26"/>
        <v>28</v>
      </c>
      <c r="B333" s="8">
        <f t="shared" si="25"/>
        <v>331</v>
      </c>
      <c r="C333" s="34">
        <f>SUM(D$3:D333)/D$1</f>
        <v>0.86711835215859112</v>
      </c>
      <c r="D333" s="10">
        <f t="shared" si="28"/>
        <v>3597.1456004529109</v>
      </c>
      <c r="E333" s="53">
        <f>((((1-F$1)*D$1)-SUM(D$3:D332)+((F$1)*D$1))*(I333/12))</f>
        <v>611.86936789466472</v>
      </c>
      <c r="F333" s="10">
        <f t="shared" si="29"/>
        <v>4209.0149683475756</v>
      </c>
      <c r="G333" s="10">
        <f t="shared" si="27"/>
        <v>1963.5</v>
      </c>
      <c r="H333" s="49"/>
      <c r="I333" s="19">
        <v>6.3E-2</v>
      </c>
    </row>
    <row r="334" spans="1:9" x14ac:dyDescent="0.25">
      <c r="A334" s="4">
        <f t="shared" si="26"/>
        <v>28</v>
      </c>
      <c r="B334" s="8">
        <f t="shared" si="25"/>
        <v>332</v>
      </c>
      <c r="C334" s="34">
        <f>SUM(D$3:D334)/D$1</f>
        <v>0.87137250582312675</v>
      </c>
      <c r="D334" s="10">
        <f t="shared" si="28"/>
        <v>3616.0306148552886</v>
      </c>
      <c r="E334" s="53">
        <f>((((1-F$1)*D$1)-SUM(D$3:D333)+((F$1)*D$1))*(I334/12))</f>
        <v>592.98435349228703</v>
      </c>
      <c r="F334" s="10">
        <f t="shared" si="29"/>
        <v>4209.0149683475756</v>
      </c>
      <c r="G334" s="10">
        <f t="shared" si="27"/>
        <v>1963.5</v>
      </c>
      <c r="H334" s="49"/>
      <c r="I334" s="19">
        <v>6.3E-2</v>
      </c>
    </row>
    <row r="335" spans="1:9" x14ac:dyDescent="0.25">
      <c r="A335" s="4">
        <f t="shared" si="26"/>
        <v>28</v>
      </c>
      <c r="B335" s="8">
        <f t="shared" si="25"/>
        <v>333</v>
      </c>
      <c r="C335" s="34">
        <f>SUM(D$3:D335)/D$1</f>
        <v>0.8756489937944012</v>
      </c>
      <c r="D335" s="10">
        <f t="shared" si="28"/>
        <v>3635.0147755832786</v>
      </c>
      <c r="E335" s="53">
        <f>((((1-F$1)*D$1)-SUM(D$3:D334)+((F$1)*D$1))*(I335/12))</f>
        <v>574.00019276429703</v>
      </c>
      <c r="F335" s="10">
        <f t="shared" si="29"/>
        <v>4209.0149683475756</v>
      </c>
      <c r="G335" s="10">
        <f t="shared" si="27"/>
        <v>1963.5</v>
      </c>
      <c r="H335" s="49"/>
      <c r="I335" s="19">
        <v>6.3E-2</v>
      </c>
    </row>
    <row r="336" spans="1:9" x14ac:dyDescent="0.25">
      <c r="A336" s="4">
        <f t="shared" si="26"/>
        <v>28</v>
      </c>
      <c r="B336" s="8">
        <f t="shared" si="25"/>
        <v>334</v>
      </c>
      <c r="C336" s="34">
        <f>SUM(D$3:D336)/D$1</f>
        <v>0.87994793332752486</v>
      </c>
      <c r="D336" s="10">
        <f t="shared" si="28"/>
        <v>3654.098603155091</v>
      </c>
      <c r="E336" s="53">
        <f>((((1-F$1)*D$1)-SUM(D$3:D335)+((F$1)*D$1))*(I336/12))</f>
        <v>554.91636519248482</v>
      </c>
      <c r="F336" s="10">
        <f t="shared" si="29"/>
        <v>4209.0149683475756</v>
      </c>
      <c r="G336" s="10">
        <f t="shared" si="27"/>
        <v>1963.5</v>
      </c>
      <c r="H336" s="49"/>
      <c r="I336" s="19">
        <v>6.3E-2</v>
      </c>
    </row>
    <row r="337" spans="1:9" x14ac:dyDescent="0.25">
      <c r="A337" s="4">
        <f t="shared" si="26"/>
        <v>28</v>
      </c>
      <c r="B337" s="8">
        <f t="shared" si="25"/>
        <v>335</v>
      </c>
      <c r="C337" s="34">
        <f>SUM(D$3:D337)/D$1</f>
        <v>0.88426944229319737</v>
      </c>
      <c r="D337" s="10">
        <f t="shared" si="28"/>
        <v>3673.2826208216552</v>
      </c>
      <c r="E337" s="53">
        <f>((((1-F$1)*D$1)-SUM(D$3:D336)+((F$1)*D$1))*(I337/12))</f>
        <v>535.73234752592043</v>
      </c>
      <c r="F337" s="10">
        <f t="shared" si="29"/>
        <v>4209.0149683475756</v>
      </c>
      <c r="G337" s="10">
        <f t="shared" si="27"/>
        <v>1963.5</v>
      </c>
      <c r="H337" s="49"/>
      <c r="I337" s="19">
        <v>6.3E-2</v>
      </c>
    </row>
    <row r="338" spans="1:9" x14ac:dyDescent="0.25">
      <c r="A338" s="4">
        <f t="shared" si="26"/>
        <v>28</v>
      </c>
      <c r="B338" s="8">
        <f t="shared" si="25"/>
        <v>336</v>
      </c>
      <c r="C338" s="34">
        <f>SUM(D$3:D338)/D$1</f>
        <v>0.88861363918093961</v>
      </c>
      <c r="D338" s="10">
        <f t="shared" si="28"/>
        <v>3692.5673545809686</v>
      </c>
      <c r="E338" s="53">
        <f>((((1-F$1)*D$1)-SUM(D$3:D337)+((F$1)*D$1))*(I338/12))</f>
        <v>516.44761376660699</v>
      </c>
      <c r="F338" s="10">
        <f t="shared" si="29"/>
        <v>4209.0149683475756</v>
      </c>
      <c r="G338" s="10">
        <f t="shared" si="27"/>
        <v>1963.5</v>
      </c>
      <c r="H338" s="49"/>
      <c r="I338" s="19">
        <v>6.3E-2</v>
      </c>
    </row>
    <row r="339" spans="1:9" x14ac:dyDescent="0.25">
      <c r="A339" s="4">
        <f t="shared" si="26"/>
        <v>29</v>
      </c>
      <c r="B339" s="8">
        <f t="shared" si="25"/>
        <v>337</v>
      </c>
      <c r="C339" s="34">
        <f>SUM(D$3:D339)/D$1</f>
        <v>0.8929806431023426</v>
      </c>
      <c r="D339" s="10">
        <f t="shared" si="28"/>
        <v>3711.9533331925186</v>
      </c>
      <c r="E339" s="53">
        <f>((((1-F$1)*D$1)-SUM(D$3:D338)+((F$1)*D$1))*(I339/12))</f>
        <v>497.06163515505688</v>
      </c>
      <c r="F339" s="10">
        <f t="shared" si="29"/>
        <v>4209.0149683475756</v>
      </c>
      <c r="G339" s="10">
        <f t="shared" si="27"/>
        <v>1963.5</v>
      </c>
      <c r="H339" s="49"/>
      <c r="I339" s="19">
        <v>6.3E-2</v>
      </c>
    </row>
    <row r="340" spans="1:9" x14ac:dyDescent="0.25">
      <c r="A340" s="4">
        <f t="shared" si="26"/>
        <v>29</v>
      </c>
      <c r="B340" s="8">
        <f t="shared" si="25"/>
        <v>338</v>
      </c>
      <c r="C340" s="34">
        <f>SUM(D$3:D340)/D$1</f>
        <v>0.89737057379433294</v>
      </c>
      <c r="D340" s="10">
        <f t="shared" si="28"/>
        <v>3731.4410881917793</v>
      </c>
      <c r="E340" s="53">
        <f>((((1-F$1)*D$1)-SUM(D$3:D339)+((F$1)*D$1))*(I340/12))</f>
        <v>477.57388015579619</v>
      </c>
      <c r="F340" s="10">
        <f t="shared" si="29"/>
        <v>4209.0149683475756</v>
      </c>
      <c r="G340" s="10">
        <f t="shared" si="27"/>
        <v>1963.5</v>
      </c>
      <c r="H340" s="49"/>
      <c r="I340" s="19">
        <v>6.3E-2</v>
      </c>
    </row>
    <row r="341" spans="1:9" x14ac:dyDescent="0.25">
      <c r="A341" s="4">
        <f t="shared" si="26"/>
        <v>29</v>
      </c>
      <c r="B341" s="8">
        <f t="shared" si="25"/>
        <v>339</v>
      </c>
      <c r="C341" s="34">
        <f>SUM(D$3:D341)/D$1</f>
        <v>0.90178355162245616</v>
      </c>
      <c r="D341" s="10">
        <f t="shared" si="28"/>
        <v>3751.0311539047866</v>
      </c>
      <c r="E341" s="53">
        <f>((((1-F$1)*D$1)-SUM(D$3:D340)+((F$1)*D$1))*(I341/12))</f>
        <v>457.9838144427892</v>
      </c>
      <c r="F341" s="10">
        <f t="shared" si="29"/>
        <v>4209.0149683475756</v>
      </c>
      <c r="G341" s="10">
        <f t="shared" si="27"/>
        <v>1963.5</v>
      </c>
      <c r="H341" s="49"/>
      <c r="I341" s="19">
        <v>6.3E-2</v>
      </c>
    </row>
    <row r="342" spans="1:9" x14ac:dyDescent="0.25">
      <c r="A342" s="4">
        <f t="shared" si="26"/>
        <v>29</v>
      </c>
      <c r="B342" s="8">
        <f t="shared" si="25"/>
        <v>340</v>
      </c>
      <c r="C342" s="34">
        <f>SUM(D$3:D342)/D$1</f>
        <v>0.9062196975841772</v>
      </c>
      <c r="D342" s="10">
        <f t="shared" si="28"/>
        <v>3770.7240674627865</v>
      </c>
      <c r="E342" s="53">
        <f>((((1-F$1)*D$1)-SUM(D$3:D341)+((F$1)*D$1))*(I342/12))</f>
        <v>438.29090088478932</v>
      </c>
      <c r="F342" s="10">
        <f t="shared" si="29"/>
        <v>4209.0149683475756</v>
      </c>
      <c r="G342" s="10">
        <f t="shared" si="27"/>
        <v>1963.5</v>
      </c>
      <c r="H342" s="49"/>
      <c r="I342" s="19">
        <v>6.3E-2</v>
      </c>
    </row>
    <row r="343" spans="1:9" x14ac:dyDescent="0.25">
      <c r="A343" s="4">
        <f t="shared" si="26"/>
        <v>29</v>
      </c>
      <c r="B343" s="8">
        <f t="shared" si="25"/>
        <v>341</v>
      </c>
      <c r="C343" s="34">
        <f>SUM(D$3:D343)/D$1</f>
        <v>0.91067913331219708</v>
      </c>
      <c r="D343" s="10">
        <f t="shared" si="28"/>
        <v>3790.5203688169663</v>
      </c>
      <c r="E343" s="53">
        <f>((((1-F$1)*D$1)-SUM(D$3:D342)+((F$1)*D$1))*(I343/12))</f>
        <v>418.49459953060938</v>
      </c>
      <c r="F343" s="10">
        <f t="shared" si="29"/>
        <v>4209.0149683475756</v>
      </c>
      <c r="G343" s="10">
        <f t="shared" si="27"/>
        <v>1963.5</v>
      </c>
      <c r="H343" s="49"/>
      <c r="I343" s="19">
        <v>6.3E-2</v>
      </c>
    </row>
    <row r="344" spans="1:9" x14ac:dyDescent="0.25">
      <c r="A344" s="4">
        <f t="shared" si="26"/>
        <v>29</v>
      </c>
      <c r="B344" s="8">
        <f t="shared" si="25"/>
        <v>342</v>
      </c>
      <c r="C344" s="34">
        <f>SUM(D$3:D344)/D$1</f>
        <v>0.91516198107778912</v>
      </c>
      <c r="D344" s="10">
        <f t="shared" si="28"/>
        <v>3810.4206007532548</v>
      </c>
      <c r="E344" s="53">
        <f>((((1-F$1)*D$1)-SUM(D$3:D343)+((F$1)*D$1))*(I344/12))</f>
        <v>398.5943675943206</v>
      </c>
      <c r="F344" s="10">
        <f t="shared" si="29"/>
        <v>4209.0149683475756</v>
      </c>
      <c r="G344" s="10">
        <f t="shared" si="27"/>
        <v>1963.5</v>
      </c>
      <c r="H344" s="49"/>
      <c r="I344" s="19">
        <v>6.3E-2</v>
      </c>
    </row>
    <row r="345" spans="1:9" x14ac:dyDescent="0.25">
      <c r="A345" s="4">
        <f t="shared" si="26"/>
        <v>29</v>
      </c>
      <c r="B345" s="8">
        <f t="shared" si="25"/>
        <v>343</v>
      </c>
      <c r="C345" s="34">
        <f>SUM(D$3:D345)/D$1</f>
        <v>0.91966836379415051</v>
      </c>
      <c r="D345" s="10">
        <f t="shared" si="28"/>
        <v>3830.4253089072099</v>
      </c>
      <c r="E345" s="53">
        <f>((((1-F$1)*D$1)-SUM(D$3:D344)+((F$1)*D$1))*(I345/12))</f>
        <v>378.58965944036589</v>
      </c>
      <c r="F345" s="10">
        <f t="shared" si="29"/>
        <v>4209.0149683475756</v>
      </c>
      <c r="G345" s="10">
        <f t="shared" si="27"/>
        <v>1963.5</v>
      </c>
      <c r="H345" s="49"/>
      <c r="I345" s="19">
        <v>6.3E-2</v>
      </c>
    </row>
    <row r="346" spans="1:9" x14ac:dyDescent="0.25">
      <c r="A346" s="4">
        <f t="shared" si="26"/>
        <v>29</v>
      </c>
      <c r="B346" s="8">
        <f t="shared" si="25"/>
        <v>344</v>
      </c>
      <c r="C346" s="34">
        <f>SUM(D$3:D346)/D$1</f>
        <v>0.9241984050197728</v>
      </c>
      <c r="D346" s="10">
        <f t="shared" si="28"/>
        <v>3850.5350417789723</v>
      </c>
      <c r="E346" s="53">
        <f>((((1-F$1)*D$1)-SUM(D$3:D345)+((F$1)*D$1))*(I346/12))</f>
        <v>358.47992656860322</v>
      </c>
      <c r="F346" s="10">
        <f t="shared" si="29"/>
        <v>4209.0149683475756</v>
      </c>
      <c r="G346" s="10">
        <f t="shared" si="27"/>
        <v>1963.5</v>
      </c>
      <c r="H346" s="49"/>
      <c r="I346" s="19">
        <v>6.3E-2</v>
      </c>
    </row>
    <row r="347" spans="1:9" x14ac:dyDescent="0.25">
      <c r="A347" s="4">
        <f t="shared" si="26"/>
        <v>29</v>
      </c>
      <c r="B347" s="8">
        <f t="shared" si="25"/>
        <v>345</v>
      </c>
      <c r="C347" s="34">
        <f>SUM(D$3:D347)/D$1</f>
        <v>0.92875222896182963</v>
      </c>
      <c r="D347" s="10">
        <f t="shared" si="28"/>
        <v>3870.7503507483116</v>
      </c>
      <c r="E347" s="53">
        <f>((((1-F$1)*D$1)-SUM(D$3:D346)+((F$1)*D$1))*(I347/12))</f>
        <v>338.26461759926383</v>
      </c>
      <c r="F347" s="10">
        <f t="shared" si="29"/>
        <v>4209.0149683475756</v>
      </c>
      <c r="G347" s="10">
        <f t="shared" si="27"/>
        <v>1963.5</v>
      </c>
      <c r="H347" s="49"/>
      <c r="I347" s="19">
        <v>6.3E-2</v>
      </c>
    </row>
    <row r="348" spans="1:9" x14ac:dyDescent="0.25">
      <c r="A348" s="4">
        <f t="shared" si="26"/>
        <v>29</v>
      </c>
      <c r="B348" s="8">
        <f t="shared" si="25"/>
        <v>346</v>
      </c>
      <c r="C348" s="34">
        <f>SUM(D$3:D348)/D$1</f>
        <v>0.93332996047958228</v>
      </c>
      <c r="D348" s="10">
        <f t="shared" si="28"/>
        <v>3891.0717900897403</v>
      </c>
      <c r="E348" s="53">
        <f>((((1-F$1)*D$1)-SUM(D$3:D347)+((F$1)*D$1))*(I348/12))</f>
        <v>317.94317825783526</v>
      </c>
      <c r="F348" s="10">
        <f t="shared" si="29"/>
        <v>4209.0149683475756</v>
      </c>
      <c r="G348" s="10">
        <f t="shared" si="27"/>
        <v>1963.5</v>
      </c>
      <c r="H348" s="49"/>
      <c r="I348" s="19">
        <v>6.3E-2</v>
      </c>
    </row>
    <row r="349" spans="1:9" x14ac:dyDescent="0.25">
      <c r="A349" s="4">
        <f t="shared" si="26"/>
        <v>29</v>
      </c>
      <c r="B349" s="8">
        <f t="shared" si="25"/>
        <v>347</v>
      </c>
      <c r="C349" s="34">
        <f>SUM(D$3:D349)/D$1</f>
        <v>0.93793172508780309</v>
      </c>
      <c r="D349" s="10">
        <f t="shared" si="28"/>
        <v>3911.4999169877115</v>
      </c>
      <c r="E349" s="53">
        <f>((((1-F$1)*D$1)-SUM(D$3:D348)+((F$1)*D$1))*(I349/12))</f>
        <v>297.51505135986423</v>
      </c>
      <c r="F349" s="10">
        <f t="shared" si="29"/>
        <v>4209.0149683475756</v>
      </c>
      <c r="G349" s="10">
        <f t="shared" si="27"/>
        <v>1963.5</v>
      </c>
      <c r="H349" s="49"/>
      <c r="I349" s="19">
        <v>6.3E-2</v>
      </c>
    </row>
    <row r="350" spans="1:9" x14ac:dyDescent="0.25">
      <c r="A350" s="4">
        <f t="shared" si="26"/>
        <v>29</v>
      </c>
      <c r="B350" s="8">
        <f t="shared" si="25"/>
        <v>348</v>
      </c>
      <c r="C350" s="34">
        <f>SUM(D$3:D350)/D$1</f>
        <v>0.94255764896021699</v>
      </c>
      <c r="D350" s="10">
        <f t="shared" si="28"/>
        <v>3932.035291551897</v>
      </c>
      <c r="E350" s="53">
        <f>((((1-F$1)*D$1)-SUM(D$3:D349)+((F$1)*D$1))*(I350/12))</f>
        <v>276.97967679567864</v>
      </c>
      <c r="F350" s="10">
        <f t="shared" si="29"/>
        <v>4209.0149683475756</v>
      </c>
      <c r="G350" s="10">
        <f t="shared" si="27"/>
        <v>1963.5</v>
      </c>
      <c r="H350" s="49"/>
      <c r="I350" s="19">
        <v>6.3E-2</v>
      </c>
    </row>
    <row r="351" spans="1:9" x14ac:dyDescent="0.25">
      <c r="A351" s="4">
        <f t="shared" si="26"/>
        <v>30</v>
      </c>
      <c r="B351" s="8">
        <f t="shared" si="25"/>
        <v>349</v>
      </c>
      <c r="C351" s="34">
        <f>SUM(D$3:D351)/D$1</f>
        <v>0.94720785893296122</v>
      </c>
      <c r="D351" s="10">
        <f t="shared" si="28"/>
        <v>3952.6784768325442</v>
      </c>
      <c r="E351" s="53">
        <f>((((1-F$1)*D$1)-SUM(D$3:D350)+((F$1)*D$1))*(I351/12))</f>
        <v>256.33649151503147</v>
      </c>
      <c r="F351" s="10">
        <f t="shared" si="29"/>
        <v>4209.0149683475756</v>
      </c>
      <c r="G351" s="10">
        <f t="shared" si="27"/>
        <v>1963.5</v>
      </c>
      <c r="H351" s="49"/>
      <c r="I351" s="19">
        <v>6.3E-2</v>
      </c>
    </row>
    <row r="352" spans="1:9" x14ac:dyDescent="0.25">
      <c r="A352" s="4">
        <f t="shared" si="26"/>
        <v>30</v>
      </c>
      <c r="B352" s="8">
        <f t="shared" si="25"/>
        <v>350</v>
      </c>
      <c r="C352" s="34">
        <f>SUM(D$3:D352)/D$1</f>
        <v>0.9518824825080624</v>
      </c>
      <c r="D352" s="10">
        <f t="shared" si="28"/>
        <v>3973.4300388359152</v>
      </c>
      <c r="E352" s="53">
        <f>((((1-F$1)*D$1)-SUM(D$3:D351)+((F$1)*D$1))*(I352/12))</f>
        <v>235.58492951166048</v>
      </c>
      <c r="F352" s="10">
        <f t="shared" si="29"/>
        <v>4209.0149683475756</v>
      </c>
      <c r="G352" s="10">
        <f t="shared" si="27"/>
        <v>1963.5</v>
      </c>
      <c r="H352" s="49"/>
      <c r="I352" s="19">
        <v>6.3E-2</v>
      </c>
    </row>
    <row r="353" spans="1:9" x14ac:dyDescent="0.25">
      <c r="A353" s="4">
        <f t="shared" si="26"/>
        <v>30</v>
      </c>
      <c r="B353" s="8">
        <f t="shared" ref="B353:B362" si="30">B352+1</f>
        <v>351</v>
      </c>
      <c r="C353" s="34">
        <f>SUM(D$3:D353)/D$1</f>
        <v>0.95658164785693278</v>
      </c>
      <c r="D353" s="10">
        <f t="shared" si="28"/>
        <v>3994.2905465398039</v>
      </c>
      <c r="E353" s="53">
        <f>((((1-F$1)*D$1)-SUM(D$3:D352)+((F$1)*D$1))*(I353/12))</f>
        <v>214.72442180777162</v>
      </c>
      <c r="F353" s="10">
        <f t="shared" si="29"/>
        <v>4209.0149683475756</v>
      </c>
      <c r="G353" s="10">
        <f t="shared" si="27"/>
        <v>1963.5</v>
      </c>
      <c r="H353" s="49"/>
      <c r="I353" s="19">
        <v>6.3E-2</v>
      </c>
    </row>
    <row r="354" spans="1:9" x14ac:dyDescent="0.25">
      <c r="A354" s="4">
        <f t="shared" si="26"/>
        <v>30</v>
      </c>
      <c r="B354" s="8">
        <f t="shared" si="30"/>
        <v>352</v>
      </c>
      <c r="C354" s="34">
        <f>SUM(D$3:D354)/D$1</f>
        <v>0.9613054838238847</v>
      </c>
      <c r="D354" s="10">
        <f t="shared" si="28"/>
        <v>4015.260571909138</v>
      </c>
      <c r="E354" s="53">
        <f>((((1-F$1)*D$1)-SUM(D$3:D353)+((F$1)*D$1))*(I354/12))</f>
        <v>193.75439643843757</v>
      </c>
      <c r="F354" s="10">
        <f t="shared" si="29"/>
        <v>4209.0149683475756</v>
      </c>
      <c r="G354" s="10">
        <f t="shared" si="27"/>
        <v>1963.5</v>
      </c>
      <c r="H354" s="49"/>
      <c r="I354" s="19">
        <v>6.3E-2</v>
      </c>
    </row>
    <row r="355" spans="1:9" x14ac:dyDescent="0.25">
      <c r="A355" s="4">
        <f t="shared" si="26"/>
        <v>30</v>
      </c>
      <c r="B355" s="8">
        <f t="shared" si="30"/>
        <v>353</v>
      </c>
      <c r="C355" s="34">
        <f>SUM(D$3:D355)/D$1</f>
        <v>0.96605411992966306</v>
      </c>
      <c r="D355" s="10">
        <f t="shared" si="28"/>
        <v>4036.3406899116612</v>
      </c>
      <c r="E355" s="53">
        <f>((((1-F$1)*D$1)-SUM(D$3:D354)+((F$1)*D$1))*(I355/12))</f>
        <v>172.67427843591457</v>
      </c>
      <c r="F355" s="10">
        <f t="shared" si="29"/>
        <v>4209.0149683475756</v>
      </c>
      <c r="G355" s="10">
        <f t="shared" si="27"/>
        <v>1963.5</v>
      </c>
      <c r="H355" s="49"/>
      <c r="I355" s="19">
        <v>6.3E-2</v>
      </c>
    </row>
    <row r="356" spans="1:9" x14ac:dyDescent="0.25">
      <c r="A356" s="4">
        <f t="shared" si="26"/>
        <v>30</v>
      </c>
      <c r="B356" s="8">
        <f t="shared" si="30"/>
        <v>354</v>
      </c>
      <c r="C356" s="34">
        <f>SUM(D$3:D356)/D$1</f>
        <v>0.97082768637499695</v>
      </c>
      <c r="D356" s="10">
        <f t="shared" si="28"/>
        <v>4057.5314785336973</v>
      </c>
      <c r="E356" s="53">
        <f>((((1-F$1)*D$1)-SUM(D$3:D355)+((F$1)*D$1))*(I356/12))</f>
        <v>151.48348981387855</v>
      </c>
      <c r="F356" s="10">
        <f t="shared" si="29"/>
        <v>4209.0149683475756</v>
      </c>
      <c r="G356" s="10">
        <f t="shared" si="27"/>
        <v>1963.5</v>
      </c>
      <c r="H356" s="49"/>
      <c r="I356" s="19">
        <v>6.3E-2</v>
      </c>
    </row>
    <row r="357" spans="1:9" x14ac:dyDescent="0.25">
      <c r="A357" s="4">
        <f t="shared" si="26"/>
        <v>30</v>
      </c>
      <c r="B357" s="8">
        <f t="shared" si="30"/>
        <v>355</v>
      </c>
      <c r="C357" s="34">
        <f>SUM(D$3:D357)/D$1</f>
        <v>0.97562631404416866</v>
      </c>
      <c r="D357" s="10">
        <f t="shared" si="28"/>
        <v>4078.8335187959992</v>
      </c>
      <c r="E357" s="53">
        <f>((((1-F$1)*D$1)-SUM(D$3:D356)+((F$1)*D$1))*(I357/12))</f>
        <v>130.18144955157635</v>
      </c>
      <c r="F357" s="10">
        <f t="shared" si="29"/>
        <v>4209.0149683475756</v>
      </c>
      <c r="G357" s="10">
        <f t="shared" si="27"/>
        <v>1963.5</v>
      </c>
      <c r="H357" s="49"/>
      <c r="I357" s="19">
        <v>6.3E-2</v>
      </c>
    </row>
    <row r="358" spans="1:9" x14ac:dyDescent="0.25">
      <c r="A358" s="4">
        <f t="shared" si="26"/>
        <v>30</v>
      </c>
      <c r="B358" s="8">
        <f t="shared" si="30"/>
        <v>356</v>
      </c>
      <c r="C358" s="34">
        <f>SUM(D$3:D358)/D$1</f>
        <v>0.98045013450860363</v>
      </c>
      <c r="D358" s="10">
        <f t="shared" si="28"/>
        <v>4100.2473947696781</v>
      </c>
      <c r="E358" s="53">
        <f>((((1-F$1)*D$1)-SUM(D$3:D357)+((F$1)*D$1))*(I358/12))</f>
        <v>108.76757357789725</v>
      </c>
      <c r="F358" s="10">
        <f t="shared" si="29"/>
        <v>4209.0149683475756</v>
      </c>
      <c r="G358" s="10">
        <f t="shared" si="27"/>
        <v>1963.5</v>
      </c>
      <c r="H358" s="49"/>
      <c r="I358" s="19">
        <v>6.3E-2</v>
      </c>
    </row>
    <row r="359" spans="1:9" x14ac:dyDescent="0.25">
      <c r="A359" s="4">
        <f t="shared" si="26"/>
        <v>30</v>
      </c>
      <c r="B359" s="8">
        <f t="shared" si="30"/>
        <v>357</v>
      </c>
      <c r="C359" s="34">
        <f>SUM(D$3:D359)/D$1</f>
        <v>0.98529928003047673</v>
      </c>
      <c r="D359" s="10">
        <f t="shared" si="28"/>
        <v>4121.7736935922194</v>
      </c>
      <c r="E359" s="53">
        <f>((((1-F$1)*D$1)-SUM(D$3:D358)+((F$1)*D$1))*(I359/12))</f>
        <v>87.2412747553564</v>
      </c>
      <c r="F359" s="10">
        <f t="shared" si="29"/>
        <v>4209.0149683475756</v>
      </c>
      <c r="G359" s="10">
        <f t="shared" si="27"/>
        <v>1963.5</v>
      </c>
      <c r="H359" s="49"/>
      <c r="I359" s="19">
        <v>6.3E-2</v>
      </c>
    </row>
    <row r="360" spans="1:9" x14ac:dyDescent="0.25">
      <c r="A360" s="4">
        <f t="shared" si="26"/>
        <v>30</v>
      </c>
      <c r="B360" s="8">
        <f t="shared" si="30"/>
        <v>358</v>
      </c>
      <c r="C360" s="34">
        <f>SUM(D$3:D360)/D$1</f>
        <v>0.99017388356633973</v>
      </c>
      <c r="D360" s="10">
        <f t="shared" si="28"/>
        <v>4143.4130054835778</v>
      </c>
      <c r="E360" s="53">
        <f>((((1-F$1)*D$1)-SUM(D$3:D359)+((F$1)*D$1))*(I360/12))</f>
        <v>65.6019628639975</v>
      </c>
      <c r="F360" s="10">
        <f t="shared" si="29"/>
        <v>4209.0149683475756</v>
      </c>
      <c r="G360" s="10">
        <f t="shared" si="27"/>
        <v>1963.5</v>
      </c>
      <c r="H360" s="49"/>
      <c r="I360" s="19">
        <v>6.3E-2</v>
      </c>
    </row>
    <row r="361" spans="1:9" x14ac:dyDescent="0.25">
      <c r="A361" s="4">
        <f t="shared" si="26"/>
        <v>30</v>
      </c>
      <c r="B361" s="8">
        <f t="shared" si="30"/>
        <v>359</v>
      </c>
      <c r="C361" s="34">
        <f>SUM(D$3:D361)/D$1</f>
        <v>0.99507407877076604</v>
      </c>
      <c r="D361" s="10">
        <f t="shared" si="28"/>
        <v>4165.1659237623671</v>
      </c>
      <c r="E361" s="53">
        <f>((((1-F$1)*D$1)-SUM(D$3:D360)+((F$1)*D$1))*(I361/12))</f>
        <v>43.849044585208759</v>
      </c>
      <c r="F361" s="10">
        <f t="shared" si="29"/>
        <v>4209.0149683475756</v>
      </c>
      <c r="G361" s="10">
        <f t="shared" si="27"/>
        <v>1963.5</v>
      </c>
      <c r="H361" s="49"/>
      <c r="I361" s="19">
        <v>6.3E-2</v>
      </c>
    </row>
    <row r="362" spans="1:9" ht="15.75" thickBot="1" x14ac:dyDescent="0.3">
      <c r="A362" s="5">
        <f t="shared" si="26"/>
        <v>30</v>
      </c>
      <c r="B362" s="6">
        <f t="shared" si="30"/>
        <v>360</v>
      </c>
      <c r="C362" s="35">
        <f>SUM(D$3:D362)/D$1</f>
        <v>1.0000000000000155</v>
      </c>
      <c r="D362" s="9">
        <f t="shared" si="28"/>
        <v>4187.0330448621189</v>
      </c>
      <c r="E362" s="53">
        <f>((((1-F$1)*D$1)-SUM(D$3:D361)+((F$1)*D$1))*(I362/12))</f>
        <v>21.981923485456328</v>
      </c>
      <c r="F362" s="10">
        <f t="shared" si="29"/>
        <v>4209.0149683475756</v>
      </c>
      <c r="G362" s="9">
        <f t="shared" si="27"/>
        <v>1963.5</v>
      </c>
      <c r="H362" s="50"/>
      <c r="I362" s="7">
        <v>6.3E-2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Yearly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2nduser</dc:creator>
  <cp:lastModifiedBy>Patrick Fitzgibbon</cp:lastModifiedBy>
  <dcterms:created xsi:type="dcterms:W3CDTF">2019-07-09T02:08:30Z</dcterms:created>
  <dcterms:modified xsi:type="dcterms:W3CDTF">2026-08-09T14:29:13Z</dcterms:modified>
</cp:coreProperties>
</file>